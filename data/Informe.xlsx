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everisgroup.sharepoint.com/sites/NTTD-ACNProyectoUP/Documentos compartidos/01. Oficina Técnica/22.Comunicación Informes Consejos/0313/"/>
    </mc:Choice>
  </mc:AlternateContent>
  <xr:revisionPtr revIDLastSave="163" documentId="8_{FD2F7512-F352-4095-A3EF-B3C3A7E8253A}" xr6:coauthVersionLast="47" xr6:coauthVersionMax="47" xr10:uidLastSave="{5998D3FE-3BE9-4DCC-B822-E3021A576365}"/>
  <bookViews>
    <workbookView xWindow="-110" yWindow="-110" windowWidth="19420" windowHeight="10300" firstSheet="1" activeTab="5" xr2:uid="{00000000-000D-0000-FFFF-FFFF00000000}"/>
  </bookViews>
  <sheets>
    <sheet name="📋 INSTRUCCIONES" sheetId="1" r:id="rId1"/>
    <sheet name="⚙️ CONFIG" sheetId="2" r:id="rId2"/>
    <sheet name="📊 CONSEJOS" sheetId="3" r:id="rId3"/>
    <sheet name="Hoja1" sheetId="8" r:id="rId4"/>
    <sheet name="📁 EVIDENCIAS" sheetId="4" r:id="rId5"/>
    <sheet name="🚀 EVOLUTIVOS" sheetId="5" r:id="rId6"/>
    <sheet name="📈 HISTÓRICO GLOBAL" sheetId="6" r:id="rId7"/>
    <sheet name="📈 HISTÓRICO CONSEJOS" sheetId="7" r:id="rId8"/>
  </sheets>
  <calcPr calcId="191029"/>
  <pivotCaches>
    <pivotCache cacheId="34"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6" l="1"/>
  <c r="B29" i="6" l="1"/>
  <c r="B28" i="6"/>
</calcChain>
</file>

<file path=xl/sharedStrings.xml><?xml version="1.0" encoding="utf-8"?>
<sst xmlns="http://schemas.openxmlformats.org/spreadsheetml/2006/main" count="1288" uniqueCount="412">
  <si>
    <t>TEMPLATE DE ACTUALIZACIÓN SEMANAL — DASHBOARD FORMACIÓN CONSEJOS</t>
  </si>
  <si>
    <t>Instrucciones de uso</t>
  </si>
  <si>
    <t>📌 HOJA 1 — CONFIG</t>
  </si>
  <si>
    <t>Actualiza la fecha del corte semanal (etiqueta visible y formato pie de página).</t>
  </si>
  <si>
    <t>📊 HOJA 2 — CONSEJOS</t>
  </si>
  <si>
    <t>Actualiza los datos de cada consejo: validados, inactivos, crecimiento, materiales, contratos, consultas, bloqueos, pendientes y sesiones de formación.</t>
  </si>
  <si>
    <t>📁 HOJA 3 — EVIDENCIAS</t>
  </si>
  <si>
    <t>Añade o edita las sesiones con evidencias pendientes por consejo. Cada fila = una evidencia de una sesión.</t>
  </si>
  <si>
    <t>🚀 HOJA 4 — EVOLUTIVOS</t>
  </si>
  <si>
    <t>Edita los puntos de la hoja de ruta de Soporte y SUG.</t>
  </si>
  <si>
    <t>📈 HOJA 5 — HISTÓRICO GLOBAL</t>
  </si>
  <si>
    <t>Añade una nueva fila al final con la fecha del corte y el total global de validados.</t>
  </si>
  <si>
    <t>📈 HOJA 6 — HISTÓRICO CONSEJOS</t>
  </si>
  <si>
    <t>Añade una nueva fila al final con la fecha del corte y el total de validados de cada consejo.</t>
  </si>
  <si>
    <t>✅ CÓMO USAR</t>
  </si>
  <si>
    <t>1. Rellena todas las hojas con los datos del nuevo corte.
2. Comparte este archivo.
3. Recibirás el data.json actualizado listo para pegar en /public.</t>
  </si>
  <si>
    <t>🎨 LEYENDA DE COLORES</t>
  </si>
  <si>
    <t>• Fondo AMARILLO = campo que debes actualizar cada semana.
• Fondo VERDE = campo que cambia ocasionalmente.
• Fondo GRIS = campo fijo (no editar normalmente).</t>
  </si>
  <si>
    <t>CONFIGURACIÓN DEL INFORME</t>
  </si>
  <si>
    <t>Campo</t>
  </si>
  <si>
    <t>Valor</t>
  </si>
  <si>
    <t>Fecha etiqueta (ej: 13 de Febrero)</t>
  </si>
  <si>
    <t>Fecha pie de página (ej: 13/02/2026)</t>
  </si>
  <si>
    <t>13/02/2026</t>
  </si>
  <si>
    <t>DATOS SEMANALES POR CONSEJO</t>
  </si>
  <si>
    <t>CONSEJO</t>
  </si>
  <si>
    <t>VALIDADOS</t>
  </si>
  <si>
    <t>OBJETIVO</t>
  </si>
  <si>
    <t>CUPO</t>
  </si>
  <si>
    <t>CRECIMIENTO %</t>
  </si>
  <si>
    <t>INACTIVOS</t>
  </si>
  <si>
    <t>CURSOS</t>
  </si>
  <si>
    <t>MAT CONSEJO</t>
  </si>
  <si>
    <t>MAT LO</t>
  </si>
  <si>
    <t>MAT PROD</t>
  </si>
  <si>
    <t>CONTRATOS (n/total)</t>
  </si>
  <si>
    <t>DACI (n/total)</t>
  </si>
  <si>
    <t>FACTURAS (n/total)</t>
  </si>
  <si>
    <t>WEB CONV</t>
  </si>
  <si>
    <t>WEB REAL</t>
  </si>
  <si>
    <t>PRES CONV</t>
  </si>
  <si>
    <t>PRES REAL</t>
  </si>
  <si>
    <t>BLOQUEOS</t>
  </si>
  <si>
    <t>PEND. WEBINAR</t>
  </si>
  <si>
    <t>PEND. PRESENCIAL</t>
  </si>
  <si>
    <t>CONSULTAS / INCIDENCIAS</t>
  </si>
  <si>
    <t>INGENIEROS DE TELECOMUNICACIÓN</t>
  </si>
  <si>
    <t>11/11</t>
  </si>
  <si>
    <t>9/9</t>
  </si>
  <si>
    <t>13/13</t>
  </si>
  <si>
    <t>INFORMÁTICA</t>
  </si>
  <si>
    <t>20/20</t>
  </si>
  <si>
    <t>TÉCNICOS DE TELECOMUNICACIÓN</t>
  </si>
  <si>
    <t>8/9</t>
  </si>
  <si>
    <t>MINAS</t>
  </si>
  <si>
    <t>12/12</t>
  </si>
  <si>
    <t>GEOMÁTICA Y TOPOGRÁFICA</t>
  </si>
  <si>
    <t>0/5</t>
  </si>
  <si>
    <t>EDUCACIÓN FÍSICA</t>
  </si>
  <si>
    <t>22/22</t>
  </si>
  <si>
    <t>21/22</t>
  </si>
  <si>
    <t>TERAPEUTAS OCUPACIONALES</t>
  </si>
  <si>
    <t>TRABAJO SOCIAL</t>
  </si>
  <si>
    <t>41/41</t>
  </si>
  <si>
    <t>35/38</t>
  </si>
  <si>
    <t>TÉCNICOS AERONÁUTICOS</t>
  </si>
  <si>
    <t>1/1</t>
  </si>
  <si>
    <t>TÉCNICOS INDUSTRIALES</t>
  </si>
  <si>
    <t>6/10</t>
  </si>
  <si>
    <t>ARQUITECTURA TÉCNICA</t>
  </si>
  <si>
    <t>22/23</t>
  </si>
  <si>
    <t>23/23</t>
  </si>
  <si>
    <t>21/23</t>
  </si>
  <si>
    <t>ACTUARIOS</t>
  </si>
  <si>
    <t>0/8</t>
  </si>
  <si>
    <t>SOCIÓLOGOS Y POLITÓLOGOS</t>
  </si>
  <si>
    <t>40/40</t>
  </si>
  <si>
    <t>19/19</t>
  </si>
  <si>
    <t>39/39</t>
  </si>
  <si>
    <t>MÉDICOS</t>
  </si>
  <si>
    <t>FARMACÉUTICOS</t>
  </si>
  <si>
    <t>5/6</t>
  </si>
  <si>
    <t>ENFERMERÍA</t>
  </si>
  <si>
    <t>2/4</t>
  </si>
  <si>
    <t>4/4</t>
  </si>
  <si>
    <t>COSITAL</t>
  </si>
  <si>
    <t>MEDIADORES DE SEGUROS</t>
  </si>
  <si>
    <t>2/3</t>
  </si>
  <si>
    <t>1/3</t>
  </si>
  <si>
    <t>ABOGACÍA</t>
  </si>
  <si>
    <t>26/27</t>
  </si>
  <si>
    <t>EVIDENCIAS PENDIENTES POR SESIÓN</t>
  </si>
  <si>
    <t>SESIÓN</t>
  </si>
  <si>
    <t>EVIDENCIA PENDIENTE</t>
  </si>
  <si>
    <t>NOTAS (opcional)</t>
  </si>
  <si>
    <t>💡 INSTRUCCIÓN: Añade una fila por cada evidencia pendiente. Repite el nombre del consejo y la sesión en cada fila. Si una sesión no tiene pendientes, no la incluyas.</t>
  </si>
  <si>
    <t>EVOLUTIVOS — HOJA DE RUTA</t>
  </si>
  <si>
    <t>SECCIÓN</t>
  </si>
  <si>
    <t>Nº</t>
  </si>
  <si>
    <t>DESCRIPCIÓN</t>
  </si>
  <si>
    <t>SOPORTE</t>
  </si>
  <si>
    <t>SUG</t>
  </si>
  <si>
    <t>HISTÓRICO GLOBAL DE VALIDACIONES</t>
  </si>
  <si>
    <t>FECHA (dd/mm/aaaa)</t>
  </si>
  <si>
    <t>TOTAL VALIDADOS</t>
  </si>
  <si>
    <t>06/10/2025</t>
  </si>
  <si>
    <t>13/10/2025</t>
  </si>
  <si>
    <t>20/10/2025</t>
  </si>
  <si>
    <t>27/10/2025</t>
  </si>
  <si>
    <t>03/11/2025</t>
  </si>
  <si>
    <t>10/11/2025</t>
  </si>
  <si>
    <t>17/11/2025</t>
  </si>
  <si>
    <t>24/11/2025</t>
  </si>
  <si>
    <t>01/12/2025</t>
  </si>
  <si>
    <t>08/12/2025</t>
  </si>
  <si>
    <t>15/12/2025</t>
  </si>
  <si>
    <t>22/12/2025</t>
  </si>
  <si>
    <t>29/12/2025</t>
  </si>
  <si>
    <t>05/01/2026</t>
  </si>
  <si>
    <t>12/01/2026</t>
  </si>
  <si>
    <t>15/01/2026</t>
  </si>
  <si>
    <t>20/01/2026</t>
  </si>
  <si>
    <t>23/01/2026</t>
  </si>
  <si>
    <t>27/01/2026</t>
  </si>
  <si>
    <t>30/01/2026</t>
  </si>
  <si>
    <t>03/02/2026</t>
  </si>
  <si>
    <t>06/02/2026</t>
  </si>
  <si>
    <t>10/02/2026</t>
  </si>
  <si>
    <t>HISTÓRICO DE VALIDACIONES POR CONSEJO</t>
  </si>
  <si>
    <t>FECHA</t>
  </si>
  <si>
    <t>20/02/2026</t>
  </si>
  <si>
    <t>CVs</t>
  </si>
  <si>
    <t>Ficha Centro</t>
  </si>
  <si>
    <t>Foto sala</t>
  </si>
  <si>
    <t>Hoja de firmas</t>
  </si>
  <si>
    <t>33/33</t>
  </si>
  <si>
    <t>10/10</t>
  </si>
  <si>
    <t>EW-CGAE-02-A2-ES-001_26012026_1530</t>
  </si>
  <si>
    <t>Pantallazo Aula Virtual</t>
  </si>
  <si>
    <t>EW-CGAE-02-A2-ES-001_28012026_1530</t>
  </si>
  <si>
    <t>EW-CGAE-02-A2-ES-002_03022026_1530</t>
  </si>
  <si>
    <t>EW-CGAE-02-A2-ES-002_10022026_1530</t>
  </si>
  <si>
    <t>EW-CGTO-02-A2-ES-002_03122025_1600</t>
  </si>
  <si>
    <t>EW-CGTO-02-A2-ES-010_04022026_1600</t>
  </si>
  <si>
    <t>EW-CGTO-02-A2-ES-019_19122025_0900</t>
  </si>
  <si>
    <t>EW-CGTO-02-A2-ES-020_23122025_0900</t>
  </si>
  <si>
    <t>Edición 6_17022026_1630</t>
  </si>
  <si>
    <t>EW-COLEF-02-A5-ES-001_02022026_1900</t>
  </si>
  <si>
    <t>EW-COLEF-02-A5-ES-001_03022026_1900</t>
  </si>
  <si>
    <t>EW-COLEF-02-A5-ES-001_04022026_1900</t>
  </si>
  <si>
    <t>EW-COLEF-02-A5-ES-001_05022026_1900</t>
  </si>
  <si>
    <t>EW-COLEF-02-A5-ES-002_06022026_1600</t>
  </si>
  <si>
    <t>EW-COLEF-02-A5-ES-002_06022026_1845</t>
  </si>
  <si>
    <t>EW-COLEF-02-A5-ES-002_13022026_1600</t>
  </si>
  <si>
    <t>EW-COLEF-02-A5-ES-002_13022026_1845</t>
  </si>
  <si>
    <t>EW-COLEF-02-A5-ES-003_07022026_0900</t>
  </si>
  <si>
    <t>EW-COLEF-02-A5-ES-003_07022026_1145</t>
  </si>
  <si>
    <t>EW-COLEF-02-A5-ES-003_14022026_0900</t>
  </si>
  <si>
    <t>EW-COLEF-02-A5-ES-003_14022026_1145</t>
  </si>
  <si>
    <t>29/30</t>
  </si>
  <si>
    <t>26/30</t>
  </si>
  <si>
    <t>1/6</t>
  </si>
  <si>
    <t>22/27</t>
  </si>
  <si>
    <t>EP-CGTO-01-A5-ES-001_24012026_0900_Zaragoza</t>
  </si>
  <si>
    <t>EP-CGTO-01-A5-ES-001_25012026_0900_Zaragoza</t>
  </si>
  <si>
    <t>EP-CGTO-01-A5-ES-002_24012026_0900_Zaragoza</t>
  </si>
  <si>
    <t>EP-CGTO-01-A5-ES-002_24012026_1530_Zaragoza</t>
  </si>
  <si>
    <t>EP-CGTO-01-A5-ES-003_24012026_1530_Zaragoza</t>
  </si>
  <si>
    <t>EP-CGTO-01-A5-ES-003_25012026_0900_Zaragoza</t>
  </si>
  <si>
    <t>EP-CGTO-01-A5-ES-004_24012026_0900_Valencia</t>
  </si>
  <si>
    <t>EP-CGTO-01-A5-ES-004_24012026_1530_Valencia</t>
  </si>
  <si>
    <t>EP-CGTO-01-A5-ES-004_14022026_0900_Valencia</t>
  </si>
  <si>
    <t>EP-CGTO-01-A5-ES-004_14022026_1530_Valencia</t>
  </si>
  <si>
    <t>EP-CGTO-01-A5-ES-005_31012026_0900_Murcia</t>
  </si>
  <si>
    <t>EP-CGTO-01-A5-ES-005_31012026_1530_Murcia</t>
  </si>
  <si>
    <t>EP-CGTO-01-A5-ES-005_07022026_0900_Murcia</t>
  </si>
  <si>
    <t>EP-CGTO-01-A5-ES-005_07022026_1530_Murcia</t>
  </si>
  <si>
    <t>EP-CGTO-01-A5-ES-006_31012026_0900_Murcia</t>
  </si>
  <si>
    <t>EP-CGTO-01-A5-ES-006_31012026_1530_Murcia</t>
  </si>
  <si>
    <t>EP-CGTO-01-A5-ES-006_07022026_0900_Murcia</t>
  </si>
  <si>
    <t>EP-CGTO-01-A5-ES-006_07022026_1530_Murcia</t>
  </si>
  <si>
    <t>EP-CGTO-01-A5-ES-007_01022026_0900_Alicante</t>
  </si>
  <si>
    <t>EP-CGTO-01-A5-ES-007_01022026_1530_Alicante</t>
  </si>
  <si>
    <t>EP-CGTO-01-A5-ES-007_07022026_0900_Alicante</t>
  </si>
  <si>
    <t>EP-CGTO-01-A5-ES-007_07022026_1530_Alicante</t>
  </si>
  <si>
    <t>EP-CGTO-01-A5-ES-008_14022026_0830_Granada</t>
  </si>
  <si>
    <t>EP-CGTO-01-A5-ES-008_14022026_1500_Granada</t>
  </si>
  <si>
    <t>EP-CGTO-01-A5-ES-008_15022026_0830_Granada</t>
  </si>
  <si>
    <t>EP-CGTO-01-A5-ES-009_14022026_0830_Granada</t>
  </si>
  <si>
    <t>EP-CGTO-01-A5-ES-009_14022026_1500_Granada</t>
  </si>
  <si>
    <t>EP-CGTO-01-A5-ES-009_15022026_0830_Granada</t>
  </si>
  <si>
    <t>EP-CGTO-01-A5-ES-009_15022026_1500_Granada</t>
  </si>
  <si>
    <t>EP-CGTO-01-A5-ES-010_14022026_0900_Valencia</t>
  </si>
  <si>
    <t>EP-CGTO-01-A5-ES-010_14022026_1530_Valencia</t>
  </si>
  <si>
    <t>EP-CGTO-01-A5-ES-010_21022026_0900_Valencia</t>
  </si>
  <si>
    <t>EP-CGTO-01-A5-ES-010_21022026_1530_Valencia</t>
  </si>
  <si>
    <t>EP-CGTO-01-A5-ES-011_20022026_1530_Toledo</t>
  </si>
  <si>
    <t>EP-CGTO-01-A5-ES-011_21022026_0900_Toledo</t>
  </si>
  <si>
    <t>EP-CGTO-01-A5-ES-011_21022026_1530_Toledo</t>
  </si>
  <si>
    <t>EP-CGTO-01-A5-ES-011_22022026_0900_Toledo</t>
  </si>
  <si>
    <t>EP-CGTO-01-A5-ES-012_20022026_1530_Toledo</t>
  </si>
  <si>
    <t>EP-CGTO-01-A5-ES-012_21022026_0900_Toledo</t>
  </si>
  <si>
    <t>EP-CGTO-01-A5-ES-012_21022026_1530_Toledo</t>
  </si>
  <si>
    <t>EP-CGTO-01-A5-ES-012_22022026_0900_Toledo</t>
  </si>
  <si>
    <t xml:space="preserve">EP-CGTS-01-A1-ES-001_23012026_0900_Barcelona </t>
  </si>
  <si>
    <t xml:space="preserve">EP-CGTS-01-A1-ES-001_23012026_1530_Barcelona </t>
  </si>
  <si>
    <t xml:space="preserve">EP-CGTS-01-A1-ES-001_24012026_0900_Barcelona </t>
  </si>
  <si>
    <t xml:space="preserve">EP-CGTS-01-A1-ES-001_24012026_1530_Barcelona </t>
  </si>
  <si>
    <t xml:space="preserve">EP-CGTS-01-A1-ES-002_23012026_1600_Las Palmas </t>
  </si>
  <si>
    <t xml:space="preserve">EP-CGTS-01-A1-ES-002_24012026_0900_Las Palmas </t>
  </si>
  <si>
    <t xml:space="preserve">EP-CGTS-01-A1-ES-002_24012026_1500_Las Palmas </t>
  </si>
  <si>
    <t xml:space="preserve">EP-CGTS-01-A1-ES-002_25012026_0900_Las Palmas </t>
  </si>
  <si>
    <t xml:space="preserve">EP-CGTS-01-A1-ES-009_23012026_1600_Madrid </t>
  </si>
  <si>
    <t xml:space="preserve">EP-CGTS-01-A1-ES-009_24012026_0900_Madrid </t>
  </si>
  <si>
    <t xml:space="preserve">EP-CGTS-01-A1-ES-009_24012026_1600_Madrid </t>
  </si>
  <si>
    <t xml:space="preserve">EP-CGTS-01-A1-ES-009_25012026_0900_Madrid </t>
  </si>
  <si>
    <t xml:space="preserve">EP-CGTS-01-A1-ES-003_13022026_1600_Alicante </t>
  </si>
  <si>
    <t xml:space="preserve">EP-CGTS-01-A1-ES-003_14022026_0900_Alicante </t>
  </si>
  <si>
    <t xml:space="preserve">EP-CGTS-01-A1-ES-003_14022026_1500_Alicante </t>
  </si>
  <si>
    <t xml:space="preserve">EP-CGTS-01-A1-ES-003_15022026_0900_Alicante </t>
  </si>
  <si>
    <t xml:space="preserve">EP-CGTS-01-A1-ES-011_06022026_0900_Badajoz </t>
  </si>
  <si>
    <t xml:space="preserve">EP-CGTS-01-A1-ES-011_06022026_1500_Badajoz </t>
  </si>
  <si>
    <t xml:space="preserve">EP-CGTS-01-A1-ES-011_07022026_0900_Badajoz </t>
  </si>
  <si>
    <t xml:space="preserve">EP-CGTS-01-A1-ES-011_07022026_1600_Badajoz </t>
  </si>
  <si>
    <t>EP-CGTS-01-A1-ES-012_21022026_0900_Santander</t>
  </si>
  <si>
    <t>EP-CGTS-01-A1-ES-012_21022026_1500_Santander</t>
  </si>
  <si>
    <t>EP-CGTS-01-A1-ES-012_22022026_0900_Santander</t>
  </si>
  <si>
    <t>EP-CGTS-01-A1-ES-012_22022026_1600_Santander</t>
  </si>
  <si>
    <t xml:space="preserve">EP-CGTS-01-A1-ES-006_20022026_1600_León </t>
  </si>
  <si>
    <t xml:space="preserve">EP-CGTS-01-A1-ES-006_21022026_0900_León </t>
  </si>
  <si>
    <t xml:space="preserve">EP-CGTS-01-A1-ES-006_21022026_1600_León </t>
  </si>
  <si>
    <t xml:space="preserve">EP-CGTS-01-A1-ES-006_22022026_0900_León </t>
  </si>
  <si>
    <t xml:space="preserve">EP-CGTS-01-A1-ES_00011900_0000_La Coruña </t>
  </si>
  <si>
    <t xml:space="preserve">EP-CGTS-01-A1-ES-007_06022026_0900_La Rioja </t>
  </si>
  <si>
    <t xml:space="preserve">EP-CGTS-01-A1-ES-007_06022026_1530_La Rioja </t>
  </si>
  <si>
    <t xml:space="preserve">EP-CGTS-01-A1-ES-007_07022026_0900_La Rioja </t>
  </si>
  <si>
    <t xml:space="preserve">EP-CGTS-01-A1-ES-007_07022026_1530_La Rioja </t>
  </si>
  <si>
    <t xml:space="preserve">EP-CGTS-01-A1-ES-008_20022026_1600_Sevilla </t>
  </si>
  <si>
    <t xml:space="preserve">EP-CGTS-01-A1-ES-008_21022026_0900_Sevilla </t>
  </si>
  <si>
    <t xml:space="preserve">EP-CGTS-01-A1-ES-008_21022026_1600_Sevilla </t>
  </si>
  <si>
    <t xml:space="preserve">EP-CGTS-01-A1-ES-008_22022026_0900_Sevilla </t>
  </si>
  <si>
    <t>EP-CSP-01-A5-ES-002_09022026_1000_Madrid</t>
  </si>
  <si>
    <t>EP-CSP-01-A5-ES-002_10022026_1000_Madrid</t>
  </si>
  <si>
    <t>EP-CSP-01-A5-ES-002_11022026_1000_Madrid</t>
  </si>
  <si>
    <t>EP-CSP-01-A5-ES-002_12022026_1000_Madrid</t>
  </si>
  <si>
    <t>EP-CGCOE-01-A1-ES-001_23012026_0900_</t>
  </si>
  <si>
    <t>EP-CGCOE-01-A1-ES-001_23012026_1600_</t>
  </si>
  <si>
    <t>EP-CGCOE-01-A1-ES-001_24012026_0900_</t>
  </si>
  <si>
    <t>EP-CGCOE-01-A1-ES-001_24012026_1600_</t>
  </si>
  <si>
    <t>EP-CGCOE-01-A1-ES-007_23012026_1530_</t>
  </si>
  <si>
    <t>EP-CGCOE-01-A1-ES-007_24012026_1530_</t>
  </si>
  <si>
    <t>EP-CGCOE-01-A1-ES-008_26012026_0830_</t>
  </si>
  <si>
    <t>EP-CGCOE-01-A1-ES-008_27012026_0830_</t>
  </si>
  <si>
    <t>EP-CGCOE-01-A1-ES-008_28012026_0830_</t>
  </si>
  <si>
    <t>EP-CGCOE-01-A1-ES-008_29012026_0830_</t>
  </si>
  <si>
    <t>EP-CGCOE-01-A1-ES-009_26012026_1530_</t>
  </si>
  <si>
    <t>EP-CGCOE-01-A1-ES-009_27012026_1530_</t>
  </si>
  <si>
    <t>EP-CGCOE-01-A1-ES-009_28012026_1530_</t>
  </si>
  <si>
    <t>EP-CGCOE-01-A1-ES-009_29012026_1530_</t>
  </si>
  <si>
    <t>EP-CGCOE-01-A1-ES-017_18022026_0830_</t>
  </si>
  <si>
    <t>EP-CGCOE-01-A1-ES-018_18022026_1530_</t>
  </si>
  <si>
    <t>EP-CGCOE-01-A1-ES-026_12022026_1600_</t>
  </si>
  <si>
    <t>EP-CGCOE-01-A1-ES-027_11022026_1600_</t>
  </si>
  <si>
    <t>EP-CGCOE-01-A1-ES-028_19012026_1530_</t>
  </si>
  <si>
    <t>EP-CGCOE-01-A1-ES-028_20012026_1530_</t>
  </si>
  <si>
    <t>EP-CGCOE-01-A1-ES-028_21012026_1530_</t>
  </si>
  <si>
    <t>EP-CGCOE-01-A1-ES-028_22012026_1530_</t>
  </si>
  <si>
    <t>EP-CGCOE-01-A1-ES-031_23012026_0900_</t>
  </si>
  <si>
    <t>EP-CGCOE-01-A1-ES-031_24012026_1600_</t>
  </si>
  <si>
    <t>EP-CGCOE-01-A1-ES-032_26012026_0900_</t>
  </si>
  <si>
    <t>EP-CGCOE-01-A1-ES-032_27012026_0900_</t>
  </si>
  <si>
    <t>EP-CGCOE-01-A1-ES-032_28012026_0900_</t>
  </si>
  <si>
    <t>EP-CGCOE-01-A1-ES-032_29012026_0900_</t>
  </si>
  <si>
    <t>EP-CGCOE-01-A1-ES-036_09022026_0830_Almería</t>
  </si>
  <si>
    <t>EP-CGCOE-01-A1-ES-036_09022026_1600_Almería</t>
  </si>
  <si>
    <t>EP-CGCOE-01-A1-ES-036_10022026_0830_Almería</t>
  </si>
  <si>
    <t>EP-CGCOE-01-A1-ES-036_10022026_1600_Almería</t>
  </si>
  <si>
    <t>EP-CGCOE-01-A1-ES-044_13022026_1600_Madrid</t>
  </si>
  <si>
    <t>EP-CGCOE-01-A1-ES-044_16022026_1600_Madrid</t>
  </si>
  <si>
    <t>EP-CGCOE-01-A1-ES-045_18022026_0900_Madrid</t>
  </si>
  <si>
    <t>EP-CGCOE-01-A1-ES-046_24022026_1600_Madrid</t>
  </si>
  <si>
    <t>Hoja Teams</t>
  </si>
  <si>
    <t>EW-CGAE-02-A2-ES01_19022026_1530</t>
  </si>
  <si>
    <t>Edición 6_24022026_1630</t>
  </si>
  <si>
    <t>Edición 6_25022026_1700</t>
  </si>
  <si>
    <t>EW-COGITI-02-A5-ES-02_24022026_1600</t>
  </si>
  <si>
    <t>27/02/2026</t>
  </si>
  <si>
    <t>EP-CGATE-01-A5-ES-07_04032026_1600_Córdoba</t>
  </si>
  <si>
    <t>EP-CGCOE-01-A1-ES-013_02032026_1600_Castellón</t>
  </si>
  <si>
    <t>EP-CGCOE-01-A1-ES-014_03032026_1600_Castellón</t>
  </si>
  <si>
    <t>EP-CGCOE-01-A1-ES-034_04032026_1600_Castellón</t>
  </si>
  <si>
    <t>EP-CGCOE-01-A1-ES-047_24022026_1600_Zaragoza</t>
  </si>
  <si>
    <t>EP-CGCOE-01-A1-ES-047_26022026_1600_Zaragoza</t>
  </si>
  <si>
    <t>EP-CGCOE-01-A1-ES-052_03032026_0900_Sevilla</t>
  </si>
  <si>
    <t>EP-CGCOE-01-A1-ES-052_03032026_1600_Sevilla</t>
  </si>
  <si>
    <t>EP-CGCOE-01-A1-ES-055_04032026_1600_Palma de Mallorca</t>
  </si>
  <si>
    <t>EW-CGAE-02-A2-ES01_03032026_1530</t>
  </si>
  <si>
    <t>EW-CGTO-02-A2-ES-014_03032026_1900</t>
  </si>
  <si>
    <t>EW-CGTO-02-A2-ES-014_04032026_1600</t>
  </si>
  <si>
    <t>EW-CSP-02-A3-ES-003_02032026_1830</t>
  </si>
  <si>
    <t>EW-CSP-02-A3-ES-003_03032026_1830</t>
  </si>
  <si>
    <t>EW-CSP-02-A3-ES-003_04032026_1830</t>
  </si>
  <si>
    <t>EW-COIT-12-A2-ES-01_03032026_1800</t>
  </si>
  <si>
    <t>GD</t>
  </si>
  <si>
    <t>EW-COGITI-02-A5-ES-03_04032026_1800</t>
  </si>
  <si>
    <t>6/9</t>
  </si>
  <si>
    <t>Cuenta de EVIDENCIA PENDIENTE</t>
  </si>
  <si>
    <t>14/20</t>
  </si>
  <si>
    <t>13/12</t>
  </si>
  <si>
    <t>13/3/2026</t>
  </si>
  <si>
    <t>-Están pendientes los DNIs y los datos de las salas</t>
  </si>
  <si>
    <t>-Pendientes las fichas de los centros firmadas</t>
  </si>
  <si>
    <t>- Se implementarán las sesiones bimodales a partir del 20 de marzo</t>
  </si>
  <si>
    <t>-Pendiente confirmar las horas de las sesiones de abril</t>
  </si>
  <si>
    <t>-Pendiente la planificación de las sesiones de mayo y junio</t>
  </si>
  <si>
    <t>-Pendiente la planificación de las sesiones de abril</t>
  </si>
  <si>
    <t>-Pendiente la planificación de las sesiones presenciales</t>
  </si>
  <si>
    <t>EP-CGTS-01-A1-ES-017_06032026_1600_Madrid</t>
  </si>
  <si>
    <t>EP-CGTS-01-A1-ES-017_07032026_0900_Madrid</t>
  </si>
  <si>
    <t>EP-CGTS-01-A1-ES-017_07032026_1600_Madrid</t>
  </si>
  <si>
    <t>EP-CGTS-01-A1-ES-017_08032026_0900_Madrid</t>
  </si>
  <si>
    <t>EP-CGAE-01-A2-ES01_05032026_1530_Madrid</t>
  </si>
  <si>
    <t>EP-CGAE-01-A2-ES02_06032026_0900_Madrid</t>
  </si>
  <si>
    <t>EP-CGAE-01-A2-ES03_09032026_1530_Madrid</t>
  </si>
  <si>
    <t>EP-CGAE-01-A2-ES01_09032026_1430_MÁLAGA</t>
  </si>
  <si>
    <t>EP-CGAE-01-A2-ES02_10032026_1430_MÁLAGA</t>
  </si>
  <si>
    <t>EP-CGAE-01-A2-ES03_11032026_1430_MÁLAGA</t>
  </si>
  <si>
    <t>EP-CSP-01-A5-ES-003_09032026_1600_Madrid</t>
  </si>
  <si>
    <t>EP-CSP-01-A5-ES-003_10032026_1600_Madrid</t>
  </si>
  <si>
    <t>EP-CSP-01-A5-ES-003_11032026_1600_Madrid</t>
  </si>
  <si>
    <t>EP-COLEF-01-A5-ES-01-001_07032026_0900_</t>
  </si>
  <si>
    <t>EP-COLEF-01-A5-ES-01-001_07032026_1500_</t>
  </si>
  <si>
    <t>EP-CGCOSITA-01-A1-ES-02_04032026_0900_Valencia</t>
  </si>
  <si>
    <t>EP-CGCOE-01-A1-ES-015_05032026_0900_Castellón</t>
  </si>
  <si>
    <t>EP-CGCOE-01-A1-ES-027_11032026_1600_</t>
  </si>
  <si>
    <t>EP-CGCOE-01-A1-ES-046_02032026_1600_Madrid</t>
  </si>
  <si>
    <t>EP-CGCOE-01-A1-ES-048_09032026_1600_Zaragoza</t>
  </si>
  <si>
    <t>EP-CGCOE-01-A1-ES-048_10032026_0900_Zaragoza</t>
  </si>
  <si>
    <t>EP-CGCOE-01-A1-ES-048_11032026_1600_Zaragoza</t>
  </si>
  <si>
    <t>EP-CGCOE-01-A1-ES-052_05032026_0900_Sevilla</t>
  </si>
  <si>
    <t>EP-CGCOE-01-A1-ES-052_05032026_1600_Sevilla</t>
  </si>
  <si>
    <t>EP-CGCOE-01-A1-ES-055_05032026_1600_Palma de Mallorca</t>
  </si>
  <si>
    <t>EP-CGCOE-01-A1-ES-055_11032026_1600_Palma de Mallorca</t>
  </si>
  <si>
    <t>EP-CGCOE-01-A1-ES-057_09032026_1530_Tarragona</t>
  </si>
  <si>
    <t>EP-CGCOE-01-A1-ES-057_11032026_1530_Tarragona</t>
  </si>
  <si>
    <t>EP-CGCOE-01-A1-ES-059_11032026_1600_Salamanca</t>
  </si>
  <si>
    <t>EP-CGCOE-01-A1-ES-061_04032026_1600_Madrid</t>
  </si>
  <si>
    <t>EP-CGCOE-01-A1-ES-061_11032026_1600_Madrid</t>
  </si>
  <si>
    <t>EW-CGAE-02-A2-ES02_05032026_1530</t>
  </si>
  <si>
    <t>EW-CGAE-02-A2-ES02_10032026_1530</t>
  </si>
  <si>
    <t>EW-CGTO-02-A2-ES-014_05032026_1900</t>
  </si>
  <si>
    <t>EW-CSP-02-A3-ES-003_05032026_1830</t>
  </si>
  <si>
    <t>EW-COIT-12-A2-ES-02_05032026_1800</t>
  </si>
  <si>
    <t>EW-CGATE-02-A2-ES-01_05032026_0900</t>
  </si>
  <si>
    <t>EW-CGCOSITA-02-A5-ES-001_15122025_1000</t>
  </si>
  <si>
    <t>EW-CGCOM-02-A1-ES-04_06032026_1700</t>
  </si>
  <si>
    <t>EW-CGCOM-02-A1-ES-01_07032026_0900</t>
  </si>
  <si>
    <t>EW-CGCOM-02-A1-ES-02_07032026_1200</t>
  </si>
  <si>
    <t>EW-CGCOM-02-A1-ES-03_07032026_0900</t>
  </si>
  <si>
    <t>EW-CGCOM-02-A1-ES-04_07032026_1200</t>
  </si>
  <si>
    <t>EW-CGCOM-02-A1-ES-01_08032026_0900</t>
  </si>
  <si>
    <t>EW-CGCOM-02-A1-ES-02_08032026_1200</t>
  </si>
  <si>
    <t>EW-CGCOM-02-A1-ES-03_08032026_0900</t>
  </si>
  <si>
    <t>EW-COLEF-02-A5-ES-01_09032026_1900</t>
  </si>
  <si>
    <t>EW-COLEF-02-A5-ES-02_10032026_1900</t>
  </si>
  <si>
    <t>EW-COLEF-02-A5-ES-03_11032026_1900</t>
  </si>
  <si>
    <t>EW-COLEF-02-A5-ES-04_12032026_1900</t>
  </si>
  <si>
    <t>EW-COLEF-02-A5-ES-01_30032026_1000</t>
  </si>
  <si>
    <t>EW-COLEF-02-A5-ES-02_25032026_1230</t>
  </si>
  <si>
    <t>EW-COLEF-02-A5-ES-03_24032026_0900</t>
  </si>
  <si>
    <t>EW-COLEF-02-A5-ES-04_26032026_1000</t>
  </si>
  <si>
    <t>EW-COLEF-02-A5-ES-01_17042026_1600</t>
  </si>
  <si>
    <t>EW-COLEF-02-A5-ES-02_17042026_1845</t>
  </si>
  <si>
    <t>EW-COLEF-02-A5-ES-03_24042026_1600</t>
  </si>
  <si>
    <t>EW-COLEF-02-A5-ES-04_24042026_1845</t>
  </si>
  <si>
    <t>EW-COLEF-02-A5-ES-01_25042026_0900</t>
  </si>
  <si>
    <t>EW-COLEF-02-A5-ES-02_25042026_1145</t>
  </si>
  <si>
    <t>EW-COLEF-02-A5-ES-03_02052026_0900</t>
  </si>
  <si>
    <t>EW-COLEF-02-A5-ES-04_02052026_1145</t>
  </si>
  <si>
    <t>EW-COLEF-02-A5-ES-01_18052026_1000</t>
  </si>
  <si>
    <t>EW-COLEF-02-A5-ES-02_19052026_1000</t>
  </si>
  <si>
    <t>EW-COLEF-02-A5-ES-03_20052026_1000</t>
  </si>
  <si>
    <t>EW-COLEF-02-A5-ES-04_21052026_1000</t>
  </si>
  <si>
    <t>EW-COLEF-02-A5-ES-01_22052026_1600</t>
  </si>
  <si>
    <t>EW-COLEF-02-A5-ES-02_22052026_1845</t>
  </si>
  <si>
    <t>EW-COLEF-02-A5-ES-03_29052026_1600</t>
  </si>
  <si>
    <t>EW-COLEF-02-A5-ES-04_29052026_1845</t>
  </si>
  <si>
    <t>EW-COLEF-02-A5-ES-01_25052026_1900</t>
  </si>
  <si>
    <t>EW-COLEF-02-A5-ES-02_26052026_1900</t>
  </si>
  <si>
    <t>EW-COLEF-02-A5-ES-03_27052026_1900</t>
  </si>
  <si>
    <t>EW-COLEF-02-A5-ES-04_28052026_1900</t>
  </si>
  <si>
    <t>EW-IAE-02-A1-ES_00011900_0000</t>
  </si>
  <si>
    <t>EW-COGITI-02-A5-ES-04_26022026_1600</t>
  </si>
  <si>
    <t>EW-COGITI-02-A5-ES-01_02032026_1800</t>
  </si>
  <si>
    <t>EW-COGITI-02-A5-ES-04_05032026_1800</t>
  </si>
  <si>
    <t>EW-COGITI-02-A5-ES-04_26032026_1800</t>
  </si>
  <si>
    <t>CV</t>
  </si>
  <si>
    <r>
      <rPr>
        <b/>
        <sz val="10"/>
        <color rgb="FF000000"/>
        <rFont val="Arial"/>
        <family val="2"/>
      </rPr>
      <t>Ha habido un total de 279 consultas e incidencias desde el día 6 de marzo. Hay 13 casos escalados.</t>
    </r>
    <r>
      <rPr>
        <sz val="10"/>
        <color rgb="FF000000"/>
        <rFont val="Arial"/>
        <family val="2"/>
      </rPr>
      <t xml:space="preserve">
Detalle: Se reportan múltiples incidencias relacionadas con la plataforma formativa, principalmente problemas de cómputo de tiempo (relojes bloqueados, horas que no avanzan o no se contabilizan correctamente), dificultades para iniciar o completar cursos y contenidos específicos, errores en el registro de asistencia a webinars y sesiones presenciales (especialmente por fallos con el QR, desconexiones puntuales o accesos desde otros correos), ausencia o asignación incorrecta de tutor.</t>
    </r>
  </si>
  <si>
    <r>
      <rPr>
        <b/>
        <sz val="10"/>
        <color rgb="FF000000"/>
        <rFont val="Arial"/>
        <family val="2"/>
      </rPr>
      <t>Ha habido un total de 67 consultas de incidencias desde el día 6 de marzo.  11 casos han sido escalados.</t>
    </r>
    <r>
      <rPr>
        <sz val="10"/>
        <color rgb="FF000000"/>
        <rFont val="Arial"/>
        <family val="2"/>
      </rPr>
      <t xml:space="preserve">
Detalle: Se reportan problemas en la teleformación y el seguimiento de asistencia: los casos prácticos se marcan como pendientes, aunque hayan sido enviados a tiempo, sin opción de modificación; una alumna solicita cómputo manual por errores en la parte online tras suplantación y escalado. Hay fallos en webinars del módulo “Uso de Foros y Comunidades Virtuales (Terapia Ocupacional)”, donde la actividad acreditada no refleja las horas completas, y desconexiones afectan el registro en “Mi actividad”. En presenciales, la inscripción no aparece pese a confirmación, las fechas y horarios no se visualizan y hay inconsistencias entre capturas recientes. Se reclama un cambio de fechas de webinar sin previo aviso.</t>
    </r>
  </si>
  <si>
    <r>
      <rPr>
        <b/>
        <sz val="10"/>
        <color rgb="FF000000"/>
        <rFont val="Arial"/>
        <family val="2"/>
      </rPr>
      <t xml:space="preserve">Ha habido un total de 77 consultas e incidencias desde el día 6 de marzo. </t>
    </r>
    <r>
      <rPr>
        <sz val="10"/>
        <color rgb="FF000000"/>
        <rFont val="Arial"/>
        <family val="2"/>
      </rPr>
      <t xml:space="preserve">
Detalle: Se reciben consultas sobre el acceso y uso del aula virtual y webinars, incluyendo dificultades para unirse a Teams, credenciales faltantes, problemas de acceso o avance en cursos, dudas sobre funcionamiento, desmatriculación de webinars, errores en asistencia y actividad, certificados y visualización de contenidos o grabaciones.</t>
    </r>
  </si>
  <si>
    <r>
      <rPr>
        <b/>
        <sz val="10"/>
        <color rgb="FF000000"/>
        <rFont val="Arial"/>
        <family val="2"/>
      </rPr>
      <t>Ha habido un total de 87 consultas e incidencias desde el día 6 de marzo. 3 casos han sido escalados.</t>
    </r>
    <r>
      <rPr>
        <sz val="10"/>
        <color rgb="FF000000"/>
        <rFont val="Arial"/>
        <family val="2"/>
      </rPr>
      <t xml:space="preserve">
Detalle: Se reportan incidencias en formación presencial y cursos online, ya que no aparece correctamente registrada la asistencia a las clases presenciales pese a haber pasado el código QR (escalado a CAU N1), y en varios cursos el contador de tiempo se queda bloqueado o no contabiliza las horas reales de estudio, impidiendo avanzar, completar encuestas de satisfacción y finalizar la formación dentro del plazo previsto.</t>
    </r>
  </si>
  <si>
    <r>
      <rPr>
        <b/>
        <sz val="10"/>
        <color rgb="FF000000"/>
        <rFont val="Arial"/>
        <family val="2"/>
      </rPr>
      <t>Ha habido un total de 54 consultas e incidencias desde el día 06 de marzo.</t>
    </r>
    <r>
      <rPr>
        <sz val="10"/>
        <color rgb="FF000000"/>
        <rFont val="Arial"/>
        <family val="2"/>
      </rPr>
      <t xml:space="preserve"> 
Detalle: Se gestionan consultas generales sobre la plataforma, como cambios de correo, credenciales, temas de inscripción y asistencia a webinars, problemas de tiempo, acceso a encuestas, obtención de certificados, funcionamiento y validación por el colegio profesional, códigos de acceso y solicitudes de baja, que dificultan acreditar la formación.</t>
    </r>
  </si>
  <si>
    <r>
      <rPr>
        <b/>
        <sz val="10"/>
        <color rgb="FF000000"/>
        <rFont val="Arial"/>
        <family val="2"/>
      </rPr>
      <t xml:space="preserve">Ha habido un total de 236 consultas e incidencias desde el día 06 de marzo. 7 incidencias están escaladas. </t>
    </r>
    <r>
      <rPr>
        <sz val="10"/>
        <color rgb="FF000000"/>
        <rFont val="Arial"/>
        <family val="2"/>
      </rPr>
      <t xml:space="preserve">
Detalle: Se han reportado incidencias relacionadas con la navegación y el seguimiento de la formación, tales como el mal funcionamiento del reloj o temporizador, el tiempo de estudio que no se actualiza o que impide la realización de evaluaciones, horas de webinar no contabilizadas, dificultades en el registro de asistencia y acceso a webinars (incluido el curso de Ética y privacidad), así como consultas generales sobre webinars y el funcionamiento de la plataforma que dificultan la correcta finalización de los cursos.</t>
    </r>
  </si>
  <si>
    <r>
      <rPr>
        <b/>
        <sz val="10"/>
        <color rgb="FF000000"/>
        <rFont val="Arial"/>
        <family val="2"/>
      </rPr>
      <t xml:space="preserve">Ha habido un total de 31 consultas e incidencias desde el día 6 de marzo. </t>
    </r>
    <r>
      <rPr>
        <sz val="10"/>
        <color rgb="FF000000"/>
        <rFont val="Arial"/>
        <family val="2"/>
      </rPr>
      <t xml:space="preserve">
Detalle: Se reportan incidentes relacionados con el acceso y seguimiento de webinars y del aula virtual, como problemas para entrar en las sesiones, visualizar vídeos, o encontrar cursos y webinars. También se notifican errores en el registro de asistencia y horas, falta de actualización en la sección “Mi actividad”, actividades finalizadas que no aparecen como completadas, dificultades con encuestas de satisfacción, seguimiento y cierre de cursos, así como inconvenientes para descargar certificados, desmatricularse o consultar sesiones presenciales y virtuales.</t>
    </r>
  </si>
  <si>
    <r>
      <rPr>
        <b/>
        <sz val="10"/>
        <color rgb="FF000000"/>
        <rFont val="Arial"/>
        <family val="2"/>
      </rPr>
      <t xml:space="preserve">Ha habido un total de 5 consultas e incidencias desde el día 6 de marzo. 2 están escaladas.
</t>
    </r>
    <r>
      <rPr>
        <sz val="10"/>
        <color rgb="FF000000"/>
        <rFont val="Arial"/>
        <family val="2"/>
      </rPr>
      <t>Detalle: Se han identificado diversas dudas generales e incidencias en la plataforma virtual. Entre ellas destacan la consulta sobre el estado de inscripción al módulo 1, la falta de incremento en el tiempo registrado de dedicación al curso, dificultades para iniciar contenidos específicos y ausencia de actualización del progreso en las lecciones y unidades, lo cual obstaculiza el avance regular en la formación.</t>
    </r>
  </si>
  <si>
    <r>
      <rPr>
        <b/>
        <sz val="10"/>
        <color rgb="FF000000"/>
        <rFont val="Arial"/>
        <family val="2"/>
      </rPr>
      <t>Ha habido un total de 38 consultas e incidencias desde el día 6 de marzo. 2 están escaladas.</t>
    </r>
    <r>
      <rPr>
        <sz val="10"/>
        <color rgb="FF000000"/>
        <rFont val="Arial"/>
        <family val="2"/>
      </rPr>
      <t xml:space="preserve">
Detalle: Las incidencias se concentran principalmente en temas de acceso, asistencia y cálculo de horas en formatos como formación presencial, aulas virtuales y webinars. Entre los problemas identificados se encuentran cuestiones de accesibilidad (como audio, credenciales o códigos), dificultades con la inscripción y el ingreso a sesiones, falta de contabilización del tiempo, asistencia no registrada tanto en sesiones presenciales como síncronas, duplicación o bloqueo de módulos, errores relacionados con cuentas o correos electrónicos, ausencia de la parte transversal, obstáculos para cancelar webinars y solicitudes de baja. Todos estos inconvenientes afectan la correcta finalización y validación de la formación.</t>
    </r>
  </si>
  <si>
    <r>
      <rPr>
        <b/>
        <sz val="10"/>
        <color rgb="FF000000"/>
        <rFont val="Arial"/>
        <family val="2"/>
      </rPr>
      <t>Ha habido un total de 32 consultas e incidencias desde el día 6 de marzo. 1 ha sido escalada.</t>
    </r>
    <r>
      <rPr>
        <sz val="10"/>
        <color rgb="FF000000"/>
        <rFont val="Arial"/>
        <family val="2"/>
      </rPr>
      <t xml:space="preserve">
Detalle: La plataforma formativa presenta incidencias técnicas y administrativas, como páginas o tests inaccesibles, errores en el registro de tiempos, avance de cursos y validación de asistencia, formación desactualizada, dificultades para obtener certificados y gestionar contraseñas e inscripciones, lo que dificulta completar y certificar la formación correctamente.</t>
    </r>
  </si>
  <si>
    <t>Column Labels</t>
  </si>
  <si>
    <t>Row Labels</t>
  </si>
  <si>
    <t>(blank)</t>
  </si>
  <si>
    <t>Grand Total</t>
  </si>
  <si>
    <t>13 de Marzo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</si>
</sst>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4"/>
      <color rgb="FFFFFFFF"/>
      <name val="Arial"/>
      <family val="2"/>
    </font>
    <font>
      <b/>
      <sz val="11"/>
      <color rgb="FFFFFFFF"/>
      <name val="Arial"/>
      <family val="2"/>
    </font>
    <font>
      <b/>
      <sz val="10"/>
      <color rgb="FF1E3A5F"/>
      <name val="Arial"/>
      <family val="2"/>
    </font>
    <font>
      <sz val="10"/>
      <color rgb="FF000000"/>
      <name val="Arial"/>
      <family val="2"/>
    </font>
    <font>
      <b/>
      <sz val="13"/>
      <color rgb="FFFFFFFF"/>
      <name val="Arial"/>
      <family val="2"/>
    </font>
    <font>
      <b/>
      <sz val="10"/>
      <color rgb="FFFFFFFF"/>
      <name val="Arial"/>
      <family val="2"/>
    </font>
    <font>
      <b/>
      <sz val="10"/>
      <color rgb="FF000000"/>
      <name val="Arial"/>
      <family val="2"/>
    </font>
    <font>
      <sz val="9"/>
      <color rgb="FF595959"/>
      <name val="Arial"/>
      <family val="2"/>
    </font>
    <font>
      <sz val="10"/>
      <color rgb="FF000000"/>
      <name val="Arial"/>
      <family val="2"/>
    </font>
    <font>
      <sz val="10"/>
      <color theme="1"/>
      <name val="Arial"/>
      <family val="2"/>
    </font>
    <font>
      <sz val="8"/>
      <name val="Calibri"/>
      <family val="2"/>
      <scheme val="minor"/>
    </font>
  </fonts>
  <fills count="10">
    <fill>
      <patternFill patternType="none"/>
    </fill>
    <fill>
      <patternFill patternType="gray125"/>
    </fill>
    <fill>
      <patternFill patternType="solid">
        <fgColor rgb="FF1E3A5F"/>
      </patternFill>
    </fill>
    <fill>
      <patternFill patternType="solid">
        <fgColor rgb="FF2E5FA3"/>
      </patternFill>
    </fill>
    <fill>
      <patternFill patternType="solid">
        <fgColor rgb="FFF0F4FA"/>
      </patternFill>
    </fill>
    <fill>
      <patternFill patternType="solid">
        <fgColor rgb="FFFFFFFF"/>
      </patternFill>
    </fill>
    <fill>
      <patternFill patternType="solid">
        <fgColor rgb="FFFFF2CC"/>
      </patternFill>
    </fill>
    <fill>
      <patternFill patternType="solid">
        <fgColor rgb="FFE2EFDA"/>
      </patternFill>
    </fill>
    <fill>
      <patternFill patternType="solid">
        <fgColor theme="0"/>
        <bgColor indexed="64"/>
      </patternFill>
    </fill>
    <fill>
      <patternFill patternType="solid">
        <fgColor rgb="FFFFF2CC"/>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
      <left/>
      <right style="thin">
        <color indexed="64"/>
      </right>
      <top/>
      <bottom/>
      <diagonal/>
    </border>
  </borders>
  <cellStyleXfs count="1">
    <xf numFmtId="0" fontId="0" fillId="0" borderId="0"/>
  </cellStyleXfs>
  <cellXfs count="51">
    <xf numFmtId="0" fontId="0" fillId="0" borderId="0" xfId="0"/>
    <xf numFmtId="0" fontId="3"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7" fillId="4" borderId="1" xfId="0" applyFont="1" applyFill="1" applyBorder="1" applyAlignment="1">
      <alignment horizontal="left" vertical="center"/>
    </xf>
    <xf numFmtId="0" fontId="4" fillId="6" borderId="1" xfId="0" applyFont="1" applyFill="1" applyBorder="1" applyAlignment="1">
      <alignment horizontal="left" vertical="center"/>
    </xf>
    <xf numFmtId="0" fontId="4" fillId="4" borderId="1" xfId="0" applyFont="1" applyFill="1" applyBorder="1" applyAlignment="1">
      <alignment horizontal="left" vertical="center"/>
    </xf>
    <xf numFmtId="0" fontId="4" fillId="7" borderId="1" xfId="0" applyFont="1" applyFill="1" applyBorder="1" applyAlignment="1">
      <alignment horizontal="left" vertical="center"/>
    </xf>
    <xf numFmtId="0" fontId="4" fillId="6" borderId="1" xfId="0" applyFont="1" applyFill="1" applyBorder="1" applyAlignment="1">
      <alignment horizontal="left" vertical="center" wrapText="1"/>
    </xf>
    <xf numFmtId="0" fontId="4" fillId="5" borderId="1" xfId="0" applyFont="1" applyFill="1" applyBorder="1" applyAlignment="1">
      <alignment horizontal="left" vertical="center"/>
    </xf>
    <xf numFmtId="14" fontId="4" fillId="6" borderId="1" xfId="0" applyNumberFormat="1" applyFont="1" applyFill="1" applyBorder="1" applyAlignment="1">
      <alignment horizontal="left" vertical="center"/>
    </xf>
    <xf numFmtId="0" fontId="4" fillId="8" borderId="1" xfId="0" applyFont="1" applyFill="1" applyBorder="1" applyAlignment="1">
      <alignment horizontal="left" vertical="center"/>
    </xf>
    <xf numFmtId="14" fontId="4" fillId="5" borderId="1" xfId="0" applyNumberFormat="1" applyFont="1" applyFill="1" applyBorder="1" applyAlignment="1">
      <alignment horizontal="left" vertical="center"/>
    </xf>
    <xf numFmtId="0" fontId="4" fillId="9" borderId="1" xfId="0" applyFont="1" applyFill="1" applyBorder="1" applyAlignment="1">
      <alignment horizontal="left" vertical="center"/>
    </xf>
    <xf numFmtId="49" fontId="4" fillId="7" borderId="1" xfId="0" applyNumberFormat="1" applyFont="1" applyFill="1" applyBorder="1" applyAlignment="1">
      <alignment horizontal="left" vertical="center"/>
    </xf>
    <xf numFmtId="49" fontId="9" fillId="7" borderId="1" xfId="0" applyNumberFormat="1" applyFont="1" applyFill="1" applyBorder="1" applyAlignment="1">
      <alignment horizontal="left" vertical="center"/>
    </xf>
    <xf numFmtId="0" fontId="9" fillId="7" borderId="1" xfId="0" applyFont="1" applyFill="1" applyBorder="1" applyAlignment="1">
      <alignment horizontal="left" vertical="center"/>
    </xf>
    <xf numFmtId="49" fontId="9" fillId="6" borderId="1" xfId="0" applyNumberFormat="1" applyFont="1" applyFill="1" applyBorder="1" applyAlignment="1">
      <alignment horizontal="left" vertical="center" wrapText="1"/>
    </xf>
    <xf numFmtId="10" fontId="4" fillId="6" borderId="1" xfId="0" applyNumberFormat="1" applyFont="1" applyFill="1" applyBorder="1" applyAlignment="1">
      <alignment horizontal="left" vertical="center"/>
    </xf>
    <xf numFmtId="9" fontId="4" fillId="6" borderId="1" xfId="0" applyNumberFormat="1" applyFont="1" applyFill="1" applyBorder="1" applyAlignment="1">
      <alignment horizontal="left" vertical="center"/>
    </xf>
    <xf numFmtId="0" fontId="0" fillId="8" borderId="0" xfId="0" applyFill="1"/>
    <xf numFmtId="49" fontId="4" fillId="6" borderId="1" xfId="0" applyNumberFormat="1" applyFont="1" applyFill="1" applyBorder="1" applyAlignment="1">
      <alignment horizontal="left" vertical="center" wrapText="1"/>
    </xf>
    <xf numFmtId="14" fontId="9" fillId="8" borderId="1" xfId="0" applyNumberFormat="1" applyFont="1" applyFill="1" applyBorder="1" applyAlignment="1">
      <alignment horizontal="left" vertical="center"/>
    </xf>
    <xf numFmtId="0" fontId="4" fillId="8" borderId="3" xfId="0" applyFont="1" applyFill="1" applyBorder="1" applyAlignment="1">
      <alignment horizontal="left" vertical="center"/>
    </xf>
    <xf numFmtId="0" fontId="0" fillId="9" borderId="2" xfId="0" applyFill="1" applyBorder="1" applyAlignment="1">
      <alignment horizontal="left"/>
    </xf>
    <xf numFmtId="0" fontId="9" fillId="8" borderId="2" xfId="0" applyFont="1" applyFill="1" applyBorder="1" applyAlignment="1">
      <alignment horizontal="left" vertical="center"/>
    </xf>
    <xf numFmtId="0" fontId="0" fillId="8" borderId="2" xfId="0" applyFill="1" applyBorder="1" applyAlignment="1">
      <alignment horizontal="left"/>
    </xf>
    <xf numFmtId="10" fontId="4" fillId="6" borderId="1" xfId="0" quotePrefix="1" applyNumberFormat="1" applyFont="1" applyFill="1" applyBorder="1" applyAlignment="1">
      <alignment horizontal="left" vertical="center"/>
    </xf>
    <xf numFmtId="0" fontId="10" fillId="9" borderId="1" xfId="0" applyFont="1" applyFill="1" applyBorder="1" applyAlignment="1">
      <alignment horizontal="left" vertical="center" wrapText="1"/>
    </xf>
    <xf numFmtId="0" fontId="0" fillId="0" borderId="0" xfId="0" pivotButton="1"/>
    <xf numFmtId="0" fontId="0" fillId="0" borderId="0" xfId="0" applyAlignment="1">
      <alignment horizontal="left"/>
    </xf>
    <xf numFmtId="0" fontId="1" fillId="2" borderId="0" xfId="0" applyFont="1" applyFill="1" applyAlignment="1">
      <alignment horizontal="center" vertical="center"/>
    </xf>
    <xf numFmtId="0" fontId="0" fillId="0" borderId="0" xfId="0"/>
    <xf numFmtId="0" fontId="2" fillId="3" borderId="0" xfId="0" applyFont="1" applyFill="1" applyAlignment="1">
      <alignment horizontal="center" vertical="center"/>
    </xf>
    <xf numFmtId="0" fontId="5" fillId="2" borderId="0" xfId="0" applyFont="1" applyFill="1" applyAlignment="1">
      <alignment horizontal="center" vertical="center"/>
    </xf>
    <xf numFmtId="14" fontId="9" fillId="8" borderId="2" xfId="0" applyNumberFormat="1" applyFont="1" applyFill="1" applyBorder="1" applyAlignment="1">
      <alignment horizontal="left" vertical="center"/>
    </xf>
    <xf numFmtId="0" fontId="4" fillId="9" borderId="0" xfId="0" applyFont="1" applyFill="1" applyBorder="1" applyAlignment="1">
      <alignment vertical="center"/>
    </xf>
    <xf numFmtId="0" fontId="5" fillId="2" borderId="0" xfId="0" applyFont="1" applyFill="1" applyBorder="1" applyAlignment="1">
      <alignment horizontal="center" vertical="center"/>
    </xf>
    <xf numFmtId="0" fontId="0" fillId="0" borderId="0" xfId="0" applyBorder="1"/>
    <xf numFmtId="0" fontId="0" fillId="0" borderId="0" xfId="0" applyBorder="1"/>
    <xf numFmtId="0" fontId="6" fillId="3" borderId="0" xfId="0" applyFont="1" applyFill="1" applyBorder="1" applyAlignment="1">
      <alignment horizontal="center" vertical="center" wrapText="1"/>
    </xf>
    <xf numFmtId="0" fontId="0" fillId="9" borderId="0" xfId="0" applyFill="1" applyBorder="1"/>
    <xf numFmtId="0" fontId="0" fillId="9" borderId="0" xfId="0" applyFill="1" applyBorder="1" applyAlignment="1">
      <alignment vertical="center"/>
    </xf>
    <xf numFmtId="0" fontId="8" fillId="4" borderId="0" xfId="0" applyFont="1" applyFill="1" applyBorder="1" applyAlignment="1">
      <alignment horizontal="left" vertical="center" wrapText="1"/>
    </xf>
    <xf numFmtId="0" fontId="6" fillId="3" borderId="4" xfId="0" applyFont="1" applyFill="1" applyBorder="1" applyAlignment="1">
      <alignment horizontal="center" vertical="center" wrapText="1"/>
    </xf>
    <xf numFmtId="0" fontId="0" fillId="9" borderId="4" xfId="0" applyFill="1" applyBorder="1"/>
    <xf numFmtId="0" fontId="4" fillId="9" borderId="4" xfId="0" applyFont="1" applyFill="1" applyBorder="1" applyAlignment="1">
      <alignment vertical="center"/>
    </xf>
    <xf numFmtId="0" fontId="0" fillId="0" borderId="4" xfId="0" applyBorder="1"/>
    <xf numFmtId="14" fontId="4" fillId="9" borderId="1" xfId="0" applyNumberFormat="1" applyFont="1" applyFill="1" applyBorder="1" applyAlignment="1">
      <alignment horizontal="left" vertical="center"/>
    </xf>
    <xf numFmtId="14" fontId="4" fillId="9" borderId="2" xfId="0" applyNumberFormat="1" applyFont="1" applyFill="1" applyBorder="1" applyAlignment="1">
      <alignment horizontal="left" vertical="center"/>
    </xf>
    <xf numFmtId="0" fontId="0" fillId="0" borderId="0" xfId="0" applyNumberFormat="1"/>
  </cellXfs>
  <cellStyles count="1">
    <cellStyle name="Normal" xfId="0" builtinId="0"/>
  </cellStyles>
  <dxfs count="9">
    <dxf>
      <font>
        <b val="0"/>
        <i val="0"/>
        <strike val="0"/>
        <condense val="0"/>
        <extend val="0"/>
        <outline val="0"/>
        <shadow val="0"/>
        <u val="none"/>
        <vertAlign val="baseline"/>
        <sz val="10"/>
        <color rgb="FF000000"/>
        <name val="Arial"/>
        <scheme val="none"/>
      </font>
      <fill>
        <patternFill patternType="solid">
          <fgColor indexed="64"/>
          <bgColor rgb="FFFFF2CC"/>
        </patternFill>
      </fill>
      <alignment horizontal="general"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FFF2CC"/>
        </patternFill>
      </fill>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scheme val="none"/>
      </font>
      <fill>
        <patternFill patternType="solid">
          <fgColor indexed="64"/>
          <bgColor rgb="FFFFF2CC"/>
        </patternFill>
      </fill>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scheme val="none"/>
      </font>
      <fill>
        <patternFill patternType="solid">
          <fgColor indexed="64"/>
          <bgColor rgb="FFFFF2CC"/>
        </patternFill>
      </fill>
      <alignment horizontal="general" vertical="center" textRotation="0" wrapText="0" indent="0" justifyLastLine="0" shrinkToFit="0" readingOrder="0"/>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scheme val="none"/>
      </font>
      <fill>
        <patternFill patternType="solid">
          <fgColor indexed="64"/>
          <bgColor rgb="FFFFF2CC"/>
        </patternFill>
      </fill>
      <alignment horizontal="general" vertical="center" textRotation="0" wrapText="0" indent="0" justifyLastLine="0" shrinkToFit="0" readingOrder="0"/>
    </dxf>
    <dxf>
      <font>
        <b/>
        <i val="0"/>
        <strike val="0"/>
        <condense val="0"/>
        <extend val="0"/>
        <outline val="0"/>
        <shadow val="0"/>
        <u val="none"/>
        <vertAlign val="baseline"/>
        <sz val="10"/>
        <color rgb="FFFFFFFF"/>
        <name val="Arial"/>
        <scheme val="none"/>
      </font>
      <fill>
        <patternFill patternType="solid">
          <fgColor indexed="64"/>
          <bgColor rgb="FF2E5FA3"/>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s>
  <tableStyles count="0" defaultTableStyle="TableStyleMedium9" defaultPivotStyle="PivotStyleLight16"/>
  <colors>
    <mruColors>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ñi Guarro, Ainhoa" refreshedDate="46094.359869560183" createdVersion="8" refreshedVersion="8" minRefreshableVersion="3" recordCount="414" xr:uid="{0D287A42-7A04-41C6-BB49-5BB5B49D4977}">
  <cacheSource type="worksheet">
    <worksheetSource name="Tabla1"/>
  </cacheSource>
  <cacheFields count="4">
    <cacheField name="CONSEJO" numFmtId="0">
      <sharedItems containsBlank="1" count="14">
        <s v="TERAPEUTAS OCUPACIONALES"/>
        <s v="TRABAJO SOCIAL"/>
        <s v="ABOGACÍA"/>
        <s v="SOCIÓLOGOS Y POLITÓLOGOS"/>
        <s v="EDUCACIÓN FÍSICA"/>
        <s v="ARQUITECTURA TÉCNICA"/>
        <s v="COSITAL"/>
        <s v="ENFERMERÍA"/>
        <s v="INGENIEROS DE TELECOMUNICACIÓN"/>
        <s v="MÉDICOS"/>
        <s v="ACTUARIOS"/>
        <s v="TÉCNICOS INDUSTRIALES"/>
        <m/>
        <s v="FARMACÉUTICOS" u="1"/>
      </sharedItems>
    </cacheField>
    <cacheField name="SESIÓN" numFmtId="0">
      <sharedItems containsBlank="1"/>
    </cacheField>
    <cacheField name="EVIDENCIA PENDIENTE" numFmtId="0">
      <sharedItems containsBlank="1" count="9">
        <s v="Hoja de firmas"/>
        <s v="Foto sala"/>
        <s v="Ficha Centro"/>
        <s v="CVs"/>
        <s v="Pantallazo Aula Virtual"/>
        <s v="Hoja Teams"/>
        <s v="CV"/>
        <s v="GD"/>
        <m/>
      </sharedItems>
    </cacheField>
    <cacheField name="NOTAS (opcional)"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4">
  <r>
    <x v="0"/>
    <s v="EP-CGTO-01-A5-ES-001_24012026_0900_Zaragoza"/>
    <x v="0"/>
    <m/>
  </r>
  <r>
    <x v="0"/>
    <s v="EP-CGTO-01-A5-ES-001_25012026_0900_Zaragoza"/>
    <x v="1"/>
    <m/>
  </r>
  <r>
    <x v="0"/>
    <s v="EP-CGTO-01-A5-ES-001_25012026_0900_Zaragoza"/>
    <x v="0"/>
    <m/>
  </r>
  <r>
    <x v="0"/>
    <s v="EP-CGTO-01-A5-ES-002_24012026_0900_Zaragoza"/>
    <x v="1"/>
    <m/>
  </r>
  <r>
    <x v="0"/>
    <s v="EP-CGTO-01-A5-ES-002_24012026_0900_Zaragoza"/>
    <x v="0"/>
    <m/>
  </r>
  <r>
    <x v="0"/>
    <s v="EP-CGTO-01-A5-ES-002_24012026_1530_Zaragoza"/>
    <x v="1"/>
    <m/>
  </r>
  <r>
    <x v="0"/>
    <s v="EP-CGTO-01-A5-ES-002_24012026_1530_Zaragoza"/>
    <x v="0"/>
    <m/>
  </r>
  <r>
    <x v="0"/>
    <s v="EP-CGTO-01-A5-ES-003_24012026_1530_Zaragoza"/>
    <x v="0"/>
    <m/>
  </r>
  <r>
    <x v="0"/>
    <s v="EP-CGTO-01-A5-ES-003_25012026_0900_Zaragoza"/>
    <x v="1"/>
    <m/>
  </r>
  <r>
    <x v="0"/>
    <s v="EP-CGTO-01-A5-ES-003_25012026_0900_Zaragoza"/>
    <x v="0"/>
    <m/>
  </r>
  <r>
    <x v="0"/>
    <s v="EP-CGTO-01-A5-ES-004_24012026_0900_Valencia"/>
    <x v="0"/>
    <m/>
  </r>
  <r>
    <x v="0"/>
    <s v="EP-CGTO-01-A5-ES-004_24012026_1530_Valencia"/>
    <x v="1"/>
    <m/>
  </r>
  <r>
    <x v="0"/>
    <s v="EP-CGTO-01-A5-ES-004_24012026_1530_Valencia"/>
    <x v="0"/>
    <m/>
  </r>
  <r>
    <x v="0"/>
    <s v="EP-CGTO-01-A5-ES-004_14022026_0900_Valencia"/>
    <x v="1"/>
    <m/>
  </r>
  <r>
    <x v="0"/>
    <s v="EP-CGTO-01-A5-ES-004_14022026_0900_Valencia"/>
    <x v="0"/>
    <m/>
  </r>
  <r>
    <x v="0"/>
    <s v="EP-CGTO-01-A5-ES-004_14022026_1530_Valencia"/>
    <x v="1"/>
    <m/>
  </r>
  <r>
    <x v="0"/>
    <s v="EP-CGTO-01-A5-ES-004_14022026_1530_Valencia"/>
    <x v="0"/>
    <m/>
  </r>
  <r>
    <x v="0"/>
    <s v="EP-CGTO-01-A5-ES-005_31012026_0900_Murcia"/>
    <x v="0"/>
    <m/>
  </r>
  <r>
    <x v="0"/>
    <s v="EP-CGTO-01-A5-ES-005_31012026_1530_Murcia"/>
    <x v="1"/>
    <m/>
  </r>
  <r>
    <x v="0"/>
    <s v="EP-CGTO-01-A5-ES-005_31012026_1530_Murcia"/>
    <x v="0"/>
    <m/>
  </r>
  <r>
    <x v="0"/>
    <s v="EP-CGTO-01-A5-ES-005_07022026_0900_Murcia"/>
    <x v="0"/>
    <m/>
  </r>
  <r>
    <x v="0"/>
    <s v="EP-CGTO-01-A5-ES-005_07022026_1530_Murcia"/>
    <x v="1"/>
    <m/>
  </r>
  <r>
    <x v="0"/>
    <s v="EP-CGTO-01-A5-ES-005_07022026_1530_Murcia"/>
    <x v="0"/>
    <m/>
  </r>
  <r>
    <x v="0"/>
    <s v="EP-CGTO-01-A5-ES-006_31012026_0900_Murcia"/>
    <x v="1"/>
    <m/>
  </r>
  <r>
    <x v="0"/>
    <s v="EP-CGTO-01-A5-ES-006_31012026_0900_Murcia"/>
    <x v="0"/>
    <m/>
  </r>
  <r>
    <x v="0"/>
    <s v="EP-CGTO-01-A5-ES-006_31012026_1530_Murcia"/>
    <x v="0"/>
    <m/>
  </r>
  <r>
    <x v="0"/>
    <s v="EP-CGTO-01-A5-ES-006_07022026_0900_Murcia"/>
    <x v="1"/>
    <m/>
  </r>
  <r>
    <x v="0"/>
    <s v="EP-CGTO-01-A5-ES-006_07022026_0900_Murcia"/>
    <x v="0"/>
    <m/>
  </r>
  <r>
    <x v="0"/>
    <s v="EP-CGTO-01-A5-ES-006_07022026_1530_Murcia"/>
    <x v="1"/>
    <m/>
  </r>
  <r>
    <x v="0"/>
    <s v="EP-CGTO-01-A5-ES-006_07022026_1530_Murcia"/>
    <x v="0"/>
    <m/>
  </r>
  <r>
    <x v="0"/>
    <s v="EP-CGTO-01-A5-ES-007_01022026_0900_Alicante"/>
    <x v="1"/>
    <m/>
  </r>
  <r>
    <x v="0"/>
    <s v="EP-CGTO-01-A5-ES-007_01022026_0900_Alicante"/>
    <x v="0"/>
    <m/>
  </r>
  <r>
    <x v="0"/>
    <s v="EP-CGTO-01-A5-ES-007_01022026_1530_Alicante"/>
    <x v="0"/>
    <m/>
  </r>
  <r>
    <x v="0"/>
    <s v="EP-CGTO-01-A5-ES-007_07022026_0900_Alicante"/>
    <x v="0"/>
    <m/>
  </r>
  <r>
    <x v="0"/>
    <s v="EP-CGTO-01-A5-ES-007_07022026_1530_Alicante"/>
    <x v="0"/>
    <m/>
  </r>
  <r>
    <x v="0"/>
    <s v="EP-CGTO-01-A5-ES-008_14022026_0830_Granada"/>
    <x v="0"/>
    <m/>
  </r>
  <r>
    <x v="0"/>
    <s v="EP-CGTO-01-A5-ES-008_14022026_1500_Granada"/>
    <x v="0"/>
    <m/>
  </r>
  <r>
    <x v="0"/>
    <s v="EP-CGTO-01-A5-ES-008_15022026_0830_Granada"/>
    <x v="0"/>
    <m/>
  </r>
  <r>
    <x v="0"/>
    <s v="EP-CGTO-01-A5-ES-009_14022026_0830_Granada"/>
    <x v="0"/>
    <m/>
  </r>
  <r>
    <x v="0"/>
    <s v="EP-CGTO-01-A5-ES-009_14022026_1500_Granada"/>
    <x v="0"/>
    <m/>
  </r>
  <r>
    <x v="0"/>
    <s v="EP-CGTO-01-A5-ES-009_15022026_0830_Granada"/>
    <x v="0"/>
    <m/>
  </r>
  <r>
    <x v="0"/>
    <s v="EP-CGTO-01-A5-ES-009_15022026_1500_Granada"/>
    <x v="0"/>
    <m/>
  </r>
  <r>
    <x v="0"/>
    <s v="EP-CGTO-01-A5-ES-010_14022026_0900_Valencia"/>
    <x v="0"/>
    <m/>
  </r>
  <r>
    <x v="0"/>
    <s v="EP-CGTO-01-A5-ES-010_14022026_1530_Valencia"/>
    <x v="0"/>
    <m/>
  </r>
  <r>
    <x v="0"/>
    <s v="EP-CGTO-01-A5-ES-010_21022026_0900_Valencia"/>
    <x v="0"/>
    <m/>
  </r>
  <r>
    <x v="0"/>
    <s v="EP-CGTO-01-A5-ES-010_21022026_1530_Valencia"/>
    <x v="1"/>
    <m/>
  </r>
  <r>
    <x v="0"/>
    <s v="EP-CGTO-01-A5-ES-010_21022026_1530_Valencia"/>
    <x v="0"/>
    <m/>
  </r>
  <r>
    <x v="0"/>
    <s v="EP-CGTO-01-A5-ES-011_20022026_1530_Toledo"/>
    <x v="0"/>
    <m/>
  </r>
  <r>
    <x v="0"/>
    <s v="EP-CGTO-01-A5-ES-011_21022026_0900_Toledo"/>
    <x v="1"/>
    <m/>
  </r>
  <r>
    <x v="0"/>
    <s v="EP-CGTO-01-A5-ES-011_21022026_0900_Toledo"/>
    <x v="0"/>
    <m/>
  </r>
  <r>
    <x v="0"/>
    <s v="EP-CGTO-01-A5-ES-011_21022026_1530_Toledo"/>
    <x v="0"/>
    <m/>
  </r>
  <r>
    <x v="0"/>
    <s v="EP-CGTO-01-A5-ES-011_22022026_0900_Toledo"/>
    <x v="1"/>
    <m/>
  </r>
  <r>
    <x v="0"/>
    <s v="EP-CGTO-01-A5-ES-011_22022026_0900_Toledo"/>
    <x v="0"/>
    <m/>
  </r>
  <r>
    <x v="0"/>
    <s v="EP-CGTO-01-A5-ES-012_20022026_1530_Toledo"/>
    <x v="1"/>
    <m/>
  </r>
  <r>
    <x v="0"/>
    <s v="EP-CGTO-01-A5-ES-012_20022026_1530_Toledo"/>
    <x v="0"/>
    <m/>
  </r>
  <r>
    <x v="0"/>
    <s v="EP-CGTO-01-A5-ES-012_21022026_0900_Toledo"/>
    <x v="1"/>
    <m/>
  </r>
  <r>
    <x v="0"/>
    <s v="EP-CGTO-01-A5-ES-012_21022026_0900_Toledo"/>
    <x v="0"/>
    <m/>
  </r>
  <r>
    <x v="0"/>
    <s v="EP-CGTO-01-A5-ES-012_21022026_1530_Toledo"/>
    <x v="1"/>
    <m/>
  </r>
  <r>
    <x v="0"/>
    <s v="EP-CGTO-01-A5-ES-012_21022026_1530_Toledo"/>
    <x v="0"/>
    <m/>
  </r>
  <r>
    <x v="0"/>
    <s v="EP-CGTO-01-A5-ES-012_22022026_0900_Toledo"/>
    <x v="1"/>
    <m/>
  </r>
  <r>
    <x v="0"/>
    <s v="EP-CGTO-01-A5-ES-012_22022026_0900_Toledo"/>
    <x v="0"/>
    <m/>
  </r>
  <r>
    <x v="1"/>
    <s v="EP-CGTS-01-A1-ES-001_23012026_0900_Barcelona "/>
    <x v="0"/>
    <m/>
  </r>
  <r>
    <x v="1"/>
    <s v="EP-CGTS-01-A1-ES-001_23012026_1530_Barcelona "/>
    <x v="0"/>
    <m/>
  </r>
  <r>
    <x v="1"/>
    <s v="EP-CGTS-01-A1-ES-001_24012026_0900_Barcelona "/>
    <x v="0"/>
    <m/>
  </r>
  <r>
    <x v="1"/>
    <s v="EP-CGTS-01-A1-ES-001_24012026_1530_Barcelona "/>
    <x v="0"/>
    <m/>
  </r>
  <r>
    <x v="1"/>
    <s v="EP-CGTS-01-A1-ES-002_23012026_1600_Las Palmas "/>
    <x v="1"/>
    <m/>
  </r>
  <r>
    <x v="1"/>
    <s v="EP-CGTS-01-A1-ES-002_23012026_1600_Las Palmas "/>
    <x v="0"/>
    <m/>
  </r>
  <r>
    <x v="1"/>
    <s v="EP-CGTS-01-A1-ES-002_24012026_0900_Las Palmas "/>
    <x v="1"/>
    <m/>
  </r>
  <r>
    <x v="1"/>
    <s v="EP-CGTS-01-A1-ES-002_24012026_0900_Las Palmas "/>
    <x v="0"/>
    <m/>
  </r>
  <r>
    <x v="1"/>
    <s v="EP-CGTS-01-A1-ES-002_24012026_1500_Las Palmas "/>
    <x v="1"/>
    <m/>
  </r>
  <r>
    <x v="1"/>
    <s v="EP-CGTS-01-A1-ES-002_24012026_1500_Las Palmas "/>
    <x v="0"/>
    <m/>
  </r>
  <r>
    <x v="1"/>
    <s v="EP-CGTS-01-A1-ES-002_25012026_0900_Las Palmas "/>
    <x v="1"/>
    <m/>
  </r>
  <r>
    <x v="1"/>
    <s v="EP-CGTS-01-A1-ES-002_25012026_0900_Las Palmas "/>
    <x v="0"/>
    <m/>
  </r>
  <r>
    <x v="1"/>
    <s v="EP-CGTS-01-A1-ES-009_23012026_1600_Madrid "/>
    <x v="2"/>
    <m/>
  </r>
  <r>
    <x v="1"/>
    <s v="EP-CGTS-01-A1-ES-009_23012026_1600_Madrid "/>
    <x v="1"/>
    <m/>
  </r>
  <r>
    <x v="1"/>
    <s v="EP-CGTS-01-A1-ES-009_23012026_1600_Madrid "/>
    <x v="0"/>
    <m/>
  </r>
  <r>
    <x v="1"/>
    <s v="EP-CGTS-01-A1-ES-009_24012026_0900_Madrid "/>
    <x v="2"/>
    <m/>
  </r>
  <r>
    <x v="1"/>
    <s v="EP-CGTS-01-A1-ES-009_24012026_0900_Madrid "/>
    <x v="1"/>
    <m/>
  </r>
  <r>
    <x v="1"/>
    <s v="EP-CGTS-01-A1-ES-009_24012026_0900_Madrid "/>
    <x v="0"/>
    <m/>
  </r>
  <r>
    <x v="1"/>
    <s v="EP-CGTS-01-A1-ES-009_24012026_1600_Madrid "/>
    <x v="2"/>
    <m/>
  </r>
  <r>
    <x v="1"/>
    <s v="EP-CGTS-01-A1-ES-009_24012026_1600_Madrid "/>
    <x v="1"/>
    <m/>
  </r>
  <r>
    <x v="1"/>
    <s v="EP-CGTS-01-A1-ES-009_24012026_1600_Madrid "/>
    <x v="0"/>
    <m/>
  </r>
  <r>
    <x v="1"/>
    <s v="EP-CGTS-01-A1-ES-009_25012026_0900_Madrid "/>
    <x v="2"/>
    <m/>
  </r>
  <r>
    <x v="1"/>
    <s v="EP-CGTS-01-A1-ES-009_25012026_0900_Madrid "/>
    <x v="0"/>
    <m/>
  </r>
  <r>
    <x v="1"/>
    <s v="EP-CGTS-01-A1-ES-003_13022026_1600_Alicante "/>
    <x v="2"/>
    <m/>
  </r>
  <r>
    <x v="1"/>
    <s v="EP-CGTS-01-A1-ES-003_13022026_1600_Alicante "/>
    <x v="0"/>
    <m/>
  </r>
  <r>
    <x v="1"/>
    <s v="EP-CGTS-01-A1-ES-003_14022026_0900_Alicante "/>
    <x v="2"/>
    <m/>
  </r>
  <r>
    <x v="1"/>
    <s v="EP-CGTS-01-A1-ES-003_14022026_0900_Alicante "/>
    <x v="1"/>
    <m/>
  </r>
  <r>
    <x v="1"/>
    <s v="EP-CGTS-01-A1-ES-003_14022026_0900_Alicante "/>
    <x v="0"/>
    <m/>
  </r>
  <r>
    <x v="1"/>
    <s v="EP-CGTS-01-A1-ES-003_14022026_1500_Alicante "/>
    <x v="2"/>
    <m/>
  </r>
  <r>
    <x v="1"/>
    <s v="EP-CGTS-01-A1-ES-003_14022026_1500_Alicante "/>
    <x v="1"/>
    <m/>
  </r>
  <r>
    <x v="1"/>
    <s v="EP-CGTS-01-A1-ES-003_14022026_1500_Alicante "/>
    <x v="0"/>
    <m/>
  </r>
  <r>
    <x v="1"/>
    <s v="EP-CGTS-01-A1-ES-003_15022026_0900_Alicante "/>
    <x v="2"/>
    <m/>
  </r>
  <r>
    <x v="1"/>
    <s v="EP-CGTS-01-A1-ES-011_06022026_0900_Badajoz "/>
    <x v="2"/>
    <m/>
  </r>
  <r>
    <x v="1"/>
    <s v="EP-CGTS-01-A1-ES-011_06022026_0900_Badajoz "/>
    <x v="0"/>
    <m/>
  </r>
  <r>
    <x v="1"/>
    <s v="EP-CGTS-01-A1-ES-011_06022026_1500_Badajoz "/>
    <x v="2"/>
    <m/>
  </r>
  <r>
    <x v="1"/>
    <s v="EP-CGTS-01-A1-ES-011_06022026_1500_Badajoz "/>
    <x v="0"/>
    <m/>
  </r>
  <r>
    <x v="1"/>
    <s v="EP-CGTS-01-A1-ES-011_07022026_0900_Badajoz "/>
    <x v="2"/>
    <m/>
  </r>
  <r>
    <x v="1"/>
    <s v="EP-CGTS-01-A1-ES-011_07022026_0900_Badajoz "/>
    <x v="1"/>
    <m/>
  </r>
  <r>
    <x v="1"/>
    <s v="EP-CGTS-01-A1-ES-011_07022026_0900_Badajoz "/>
    <x v="0"/>
    <m/>
  </r>
  <r>
    <x v="1"/>
    <s v="EP-CGTS-01-A1-ES-011_07022026_1600_Badajoz "/>
    <x v="2"/>
    <m/>
  </r>
  <r>
    <x v="1"/>
    <s v="EP-CGTS-01-A1-ES-011_07022026_1600_Badajoz "/>
    <x v="1"/>
    <m/>
  </r>
  <r>
    <x v="1"/>
    <s v="EP-CGTS-01-A1-ES-011_07022026_1600_Badajoz "/>
    <x v="0"/>
    <m/>
  </r>
  <r>
    <x v="1"/>
    <s v="EP-CGTS-01-A1-ES-012_21022026_0900_Santander"/>
    <x v="2"/>
    <m/>
  </r>
  <r>
    <x v="1"/>
    <s v="EP-CGTS-01-A1-ES-012_21022026_0900_Santander"/>
    <x v="1"/>
    <m/>
  </r>
  <r>
    <x v="1"/>
    <s v="EP-CGTS-01-A1-ES-012_21022026_0900_Santander"/>
    <x v="0"/>
    <m/>
  </r>
  <r>
    <x v="1"/>
    <s v="EP-CGTS-01-A1-ES-012_21022026_1500_Santander"/>
    <x v="2"/>
    <m/>
  </r>
  <r>
    <x v="1"/>
    <s v="EP-CGTS-01-A1-ES-012_21022026_1500_Santander"/>
    <x v="1"/>
    <m/>
  </r>
  <r>
    <x v="1"/>
    <s v="EP-CGTS-01-A1-ES-012_21022026_1500_Santander"/>
    <x v="0"/>
    <m/>
  </r>
  <r>
    <x v="1"/>
    <s v="EP-CGTS-01-A1-ES-012_22022026_0900_Santander"/>
    <x v="2"/>
    <m/>
  </r>
  <r>
    <x v="1"/>
    <s v="EP-CGTS-01-A1-ES-012_22022026_0900_Santander"/>
    <x v="1"/>
    <m/>
  </r>
  <r>
    <x v="1"/>
    <s v="EP-CGTS-01-A1-ES-012_22022026_0900_Santander"/>
    <x v="0"/>
    <m/>
  </r>
  <r>
    <x v="1"/>
    <s v="EP-CGTS-01-A1-ES-012_22022026_1600_Santander"/>
    <x v="2"/>
    <m/>
  </r>
  <r>
    <x v="1"/>
    <s v="EP-CGTS-01-A1-ES-012_22022026_1600_Santander"/>
    <x v="1"/>
    <m/>
  </r>
  <r>
    <x v="1"/>
    <s v="EP-CGTS-01-A1-ES-012_22022026_1600_Santander"/>
    <x v="0"/>
    <m/>
  </r>
  <r>
    <x v="1"/>
    <s v="EP-CGTS-01-A1-ES-006_20022026_1600_León "/>
    <x v="0"/>
    <m/>
  </r>
  <r>
    <x v="1"/>
    <s v="EP-CGTS-01-A1-ES-006_21022026_0900_León "/>
    <x v="0"/>
    <m/>
  </r>
  <r>
    <x v="1"/>
    <s v="EP-CGTS-01-A1-ES-006_21022026_1600_León "/>
    <x v="0"/>
    <m/>
  </r>
  <r>
    <x v="1"/>
    <s v="EP-CGTS-01-A1-ES-006_22022026_0900_León "/>
    <x v="0"/>
    <m/>
  </r>
  <r>
    <x v="1"/>
    <s v="EP-CGTS-01-A1-ES_00011900_0000_La Coruña "/>
    <x v="3"/>
    <m/>
  </r>
  <r>
    <x v="1"/>
    <s v="EP-CGTS-01-A1-ES_00011900_0000_La Coruña "/>
    <x v="2"/>
    <m/>
  </r>
  <r>
    <x v="1"/>
    <s v="EP-CGTS-01-A1-ES_00011900_0000_La Coruña "/>
    <x v="3"/>
    <m/>
  </r>
  <r>
    <x v="1"/>
    <s v="EP-CGTS-01-A1-ES_00011900_0000_La Coruña "/>
    <x v="2"/>
    <m/>
  </r>
  <r>
    <x v="1"/>
    <s v="EP-CGTS-01-A1-ES_00011900_0000_La Coruña "/>
    <x v="3"/>
    <m/>
  </r>
  <r>
    <x v="1"/>
    <s v="EP-CGTS-01-A1-ES_00011900_0000_La Coruña "/>
    <x v="2"/>
    <m/>
  </r>
  <r>
    <x v="1"/>
    <s v="EP-CGTS-01-A1-ES_00011900_0000_La Coruña "/>
    <x v="3"/>
    <m/>
  </r>
  <r>
    <x v="1"/>
    <s v="EP-CGTS-01-A1-ES_00011900_0000_La Coruña "/>
    <x v="2"/>
    <m/>
  </r>
  <r>
    <x v="1"/>
    <s v="EP-CGTS-01-A1-ES-007_06022026_0900_La Rioja "/>
    <x v="2"/>
    <m/>
  </r>
  <r>
    <x v="1"/>
    <s v="EP-CGTS-01-A1-ES-007_06022026_1530_La Rioja "/>
    <x v="2"/>
    <m/>
  </r>
  <r>
    <x v="1"/>
    <s v="EP-CGTS-01-A1-ES-007_06022026_1530_La Rioja "/>
    <x v="1"/>
    <m/>
  </r>
  <r>
    <x v="1"/>
    <s v="EP-CGTS-01-A1-ES-007_07022026_0900_La Rioja "/>
    <x v="2"/>
    <m/>
  </r>
  <r>
    <x v="1"/>
    <s v="EP-CGTS-01-A1-ES-007_07022026_0900_La Rioja "/>
    <x v="1"/>
    <m/>
  </r>
  <r>
    <x v="1"/>
    <s v="EP-CGTS-01-A1-ES-007_07022026_0900_La Rioja "/>
    <x v="0"/>
    <m/>
  </r>
  <r>
    <x v="1"/>
    <s v="EP-CGTS-01-A1-ES-007_07022026_1530_La Rioja "/>
    <x v="2"/>
    <m/>
  </r>
  <r>
    <x v="1"/>
    <s v="EP-CGTS-01-A1-ES-007_07022026_1530_La Rioja "/>
    <x v="1"/>
    <m/>
  </r>
  <r>
    <x v="1"/>
    <s v="EP-CGTS-01-A1-ES-007_07022026_1530_La Rioja "/>
    <x v="0"/>
    <m/>
  </r>
  <r>
    <x v="1"/>
    <s v="EP-CGTS-01-A1-ES-008_20022026_1600_Sevilla "/>
    <x v="3"/>
    <m/>
  </r>
  <r>
    <x v="1"/>
    <s v="EP-CGTS-01-A1-ES-008_20022026_1600_Sevilla "/>
    <x v="2"/>
    <m/>
  </r>
  <r>
    <x v="1"/>
    <s v="EP-CGTS-01-A1-ES-008_21022026_0900_Sevilla "/>
    <x v="3"/>
    <m/>
  </r>
  <r>
    <x v="1"/>
    <s v="EP-CGTS-01-A1-ES-008_21022026_0900_Sevilla "/>
    <x v="2"/>
    <m/>
  </r>
  <r>
    <x v="1"/>
    <s v="EP-CGTS-01-A1-ES-008_21022026_1600_Sevilla "/>
    <x v="3"/>
    <m/>
  </r>
  <r>
    <x v="1"/>
    <s v="EP-CGTS-01-A1-ES-008_21022026_1600_Sevilla "/>
    <x v="2"/>
    <m/>
  </r>
  <r>
    <x v="1"/>
    <s v="EP-CGTS-01-A1-ES-008_22022026_0900_Sevilla "/>
    <x v="3"/>
    <m/>
  </r>
  <r>
    <x v="1"/>
    <s v="EP-CGTS-01-A1-ES-008_22022026_0900_Sevilla "/>
    <x v="2"/>
    <m/>
  </r>
  <r>
    <x v="1"/>
    <s v="EP-CGTS-01-A1-ES-008_22022026_0900_Sevilla "/>
    <x v="0"/>
    <m/>
  </r>
  <r>
    <x v="1"/>
    <s v="EP-CGTS-01-A1-ES-017_06032026_1600_Madrid"/>
    <x v="2"/>
    <m/>
  </r>
  <r>
    <x v="1"/>
    <s v="EP-CGTS-01-A1-ES-017_06032026_1600_Madrid"/>
    <x v="1"/>
    <m/>
  </r>
  <r>
    <x v="1"/>
    <s v="EP-CGTS-01-A1-ES-017_07032026_0900_Madrid"/>
    <x v="2"/>
    <m/>
  </r>
  <r>
    <x v="1"/>
    <s v="EP-CGTS-01-A1-ES-017_07032026_1600_Madrid"/>
    <x v="2"/>
    <m/>
  </r>
  <r>
    <x v="1"/>
    <s v="EP-CGTS-01-A1-ES-017_07032026_1600_Madrid"/>
    <x v="1"/>
    <m/>
  </r>
  <r>
    <x v="1"/>
    <s v="EP-CGTS-01-A1-ES-017_08032026_0900_Madrid"/>
    <x v="2"/>
    <m/>
  </r>
  <r>
    <x v="2"/>
    <s v="EP-CGAE-01-A2-ES01_05032026_1530_Madrid"/>
    <x v="1"/>
    <m/>
  </r>
  <r>
    <x v="2"/>
    <s v="EP-CGAE-01-A2-ES02_06032026_0900_Madrid"/>
    <x v="3"/>
    <m/>
  </r>
  <r>
    <x v="2"/>
    <s v="EP-CGAE-01-A2-ES02_06032026_0900_Madrid"/>
    <x v="2"/>
    <m/>
  </r>
  <r>
    <x v="2"/>
    <s v="EP-CGAE-01-A2-ES02_06032026_0900_Madrid"/>
    <x v="1"/>
    <m/>
  </r>
  <r>
    <x v="2"/>
    <s v="EP-CGAE-01-A2-ES03_09032026_1530_Madrid"/>
    <x v="2"/>
    <m/>
  </r>
  <r>
    <x v="2"/>
    <s v="EP-CGAE-01-A2-ES01_09032026_1430_MÁLAGA"/>
    <x v="3"/>
    <m/>
  </r>
  <r>
    <x v="2"/>
    <s v="EP-CGAE-01-A2-ES01_09032026_1430_MÁLAGA"/>
    <x v="2"/>
    <m/>
  </r>
  <r>
    <x v="2"/>
    <s v="EP-CGAE-01-A2-ES01_09032026_1430_MÁLAGA"/>
    <x v="1"/>
    <m/>
  </r>
  <r>
    <x v="2"/>
    <s v="EP-CGAE-01-A2-ES02_10032026_1430_MÁLAGA"/>
    <x v="3"/>
    <m/>
  </r>
  <r>
    <x v="2"/>
    <s v="EP-CGAE-01-A2-ES02_10032026_1430_MÁLAGA"/>
    <x v="2"/>
    <m/>
  </r>
  <r>
    <x v="2"/>
    <s v="EP-CGAE-01-A2-ES02_10032026_1430_MÁLAGA"/>
    <x v="1"/>
    <m/>
  </r>
  <r>
    <x v="2"/>
    <s v="EP-CGAE-01-A2-ES03_11032026_1430_MÁLAGA"/>
    <x v="3"/>
    <m/>
  </r>
  <r>
    <x v="2"/>
    <s v="EP-CGAE-01-A2-ES03_11032026_1430_MÁLAGA"/>
    <x v="2"/>
    <m/>
  </r>
  <r>
    <x v="2"/>
    <s v="EP-CGAE-01-A2-ES03_11032026_1430_MÁLAGA"/>
    <x v="1"/>
    <m/>
  </r>
  <r>
    <x v="3"/>
    <s v="EP-CSP-01-A5-ES-002_09022026_1000_Madrid"/>
    <x v="0"/>
    <m/>
  </r>
  <r>
    <x v="3"/>
    <s v="EP-CSP-01-A5-ES-002_10022026_1000_Madrid"/>
    <x v="0"/>
    <m/>
  </r>
  <r>
    <x v="3"/>
    <s v="EP-CSP-01-A5-ES-002_11022026_1000_Madrid"/>
    <x v="0"/>
    <m/>
  </r>
  <r>
    <x v="3"/>
    <s v="EP-CSP-01-A5-ES-002_12022026_1000_Madrid"/>
    <x v="0"/>
    <m/>
  </r>
  <r>
    <x v="3"/>
    <s v="EP-CSP-01-A5-ES-003_09032026_1600_Madrid"/>
    <x v="1"/>
    <m/>
  </r>
  <r>
    <x v="3"/>
    <s v="EP-CSP-01-A5-ES-003_10032026_1600_Madrid"/>
    <x v="1"/>
    <m/>
  </r>
  <r>
    <x v="3"/>
    <s v="EP-CSP-01-A5-ES-003_11032026_1600_Madrid"/>
    <x v="1"/>
    <m/>
  </r>
  <r>
    <x v="4"/>
    <s v="EP-COLEF-01-A5-ES-01-001_07032026_0900_"/>
    <x v="3"/>
    <m/>
  </r>
  <r>
    <x v="4"/>
    <s v="EP-COLEF-01-A5-ES-01-001_07032026_0900_"/>
    <x v="2"/>
    <m/>
  </r>
  <r>
    <x v="4"/>
    <s v="EP-COLEF-01-A5-ES-01-001_07032026_0900_"/>
    <x v="1"/>
    <m/>
  </r>
  <r>
    <x v="4"/>
    <s v="EP-COLEF-01-A5-ES-01-001_07032026_1500_"/>
    <x v="3"/>
    <m/>
  </r>
  <r>
    <x v="4"/>
    <s v="EP-COLEF-01-A5-ES-01-001_07032026_1500_"/>
    <x v="2"/>
    <m/>
  </r>
  <r>
    <x v="4"/>
    <s v="EP-COLEF-01-A5-ES-01-001_07032026_1500_"/>
    <x v="1"/>
    <m/>
  </r>
  <r>
    <x v="5"/>
    <s v="EP-CGATE-01-A5-ES-07_04032026_1600_Córdoba"/>
    <x v="1"/>
    <m/>
  </r>
  <r>
    <x v="6"/>
    <s v="EP-CGCOSITA-01-A1-ES-02_04032026_0900_Valencia"/>
    <x v="1"/>
    <m/>
  </r>
  <r>
    <x v="7"/>
    <s v="EP-CGCOE-01-A1-ES-001_23012026_0900_"/>
    <x v="2"/>
    <m/>
  </r>
  <r>
    <x v="7"/>
    <s v="EP-CGCOE-01-A1-ES-001_23012026_1600_"/>
    <x v="2"/>
    <m/>
  </r>
  <r>
    <x v="7"/>
    <s v="EP-CGCOE-01-A1-ES-001_24012026_0900_"/>
    <x v="2"/>
    <m/>
  </r>
  <r>
    <x v="7"/>
    <s v="EP-CGCOE-01-A1-ES-001_24012026_1600_"/>
    <x v="2"/>
    <m/>
  </r>
  <r>
    <x v="7"/>
    <s v="EP-CGCOE-01-A1-ES-007_23012026_1530_"/>
    <x v="1"/>
    <m/>
  </r>
  <r>
    <x v="7"/>
    <s v="EP-CGCOE-01-A1-ES-007_24012026_1530_"/>
    <x v="1"/>
    <m/>
  </r>
  <r>
    <x v="7"/>
    <s v="EP-CGCOE-01-A1-ES-008_26012026_0830_"/>
    <x v="0"/>
    <m/>
  </r>
  <r>
    <x v="7"/>
    <s v="EP-CGCOE-01-A1-ES-008_27012026_0830_"/>
    <x v="0"/>
    <m/>
  </r>
  <r>
    <x v="7"/>
    <s v="EP-CGCOE-01-A1-ES-008_28012026_0830_"/>
    <x v="0"/>
    <m/>
  </r>
  <r>
    <x v="7"/>
    <s v="EP-CGCOE-01-A1-ES-008_29012026_0830_"/>
    <x v="0"/>
    <m/>
  </r>
  <r>
    <x v="7"/>
    <s v="EP-CGCOE-01-A1-ES-009_26012026_1530_"/>
    <x v="0"/>
    <m/>
  </r>
  <r>
    <x v="7"/>
    <s v="EP-CGCOE-01-A1-ES-009_27012026_1530_"/>
    <x v="0"/>
    <m/>
  </r>
  <r>
    <x v="7"/>
    <s v="EP-CGCOE-01-A1-ES-009_28012026_1530_"/>
    <x v="0"/>
    <m/>
  </r>
  <r>
    <x v="7"/>
    <s v="EP-CGCOE-01-A1-ES-009_29012026_1530_"/>
    <x v="0"/>
    <m/>
  </r>
  <r>
    <x v="7"/>
    <s v="EP-CGCOE-01-A1-ES-013_02032026_1600_Castellón"/>
    <x v="2"/>
    <m/>
  </r>
  <r>
    <x v="7"/>
    <s v="EP-CGCOE-01-A1-ES-013_02032026_1600_Castellón"/>
    <x v="1"/>
    <m/>
  </r>
  <r>
    <x v="7"/>
    <s v="EP-CGCOE-01-A1-ES-014_03032026_1600_Castellón"/>
    <x v="2"/>
    <m/>
  </r>
  <r>
    <x v="7"/>
    <s v="EP-CGCOE-01-A1-ES-014_03032026_1600_Castellón"/>
    <x v="1"/>
    <m/>
  </r>
  <r>
    <x v="7"/>
    <s v="EP-CGCOE-01-A1-ES-015_05032026_0900_Castellón"/>
    <x v="2"/>
    <m/>
  </r>
  <r>
    <x v="7"/>
    <s v="EP-CGCOE-01-A1-ES-015_05032026_0900_Castellón"/>
    <x v="1"/>
    <m/>
  </r>
  <r>
    <x v="7"/>
    <s v="EP-CGCOE-01-A1-ES-017_18022026_0830_"/>
    <x v="0"/>
    <m/>
  </r>
  <r>
    <x v="7"/>
    <s v="EP-CGCOE-01-A1-ES-018_18022026_1530_"/>
    <x v="0"/>
    <m/>
  </r>
  <r>
    <x v="7"/>
    <s v="EP-CGCOE-01-A1-ES-026_12022026_1600_"/>
    <x v="1"/>
    <m/>
  </r>
  <r>
    <x v="7"/>
    <s v="EP-CGCOE-01-A1-ES-027_11022026_1600_"/>
    <x v="1"/>
    <m/>
  </r>
  <r>
    <x v="7"/>
    <s v="EP-CGCOE-01-A1-ES-027_11032026_1600_"/>
    <x v="1"/>
    <m/>
  </r>
  <r>
    <x v="7"/>
    <s v="EP-CGCOE-01-A1-ES-028_19012026_1530_"/>
    <x v="0"/>
    <m/>
  </r>
  <r>
    <x v="7"/>
    <s v="EP-CGCOE-01-A1-ES-028_20012026_1530_"/>
    <x v="0"/>
    <m/>
  </r>
  <r>
    <x v="7"/>
    <s v="EP-CGCOE-01-A1-ES-028_21012026_1530_"/>
    <x v="0"/>
    <m/>
  </r>
  <r>
    <x v="7"/>
    <s v="EP-CGCOE-01-A1-ES-028_22012026_1530_"/>
    <x v="0"/>
    <m/>
  </r>
  <r>
    <x v="7"/>
    <s v="EP-CGCOE-01-A1-ES-031_23012026_0900_"/>
    <x v="0"/>
    <m/>
  </r>
  <r>
    <x v="7"/>
    <s v="EP-CGCOE-01-A1-ES-031_24012026_1600_"/>
    <x v="0"/>
    <m/>
  </r>
  <r>
    <x v="7"/>
    <s v="EP-CGCOE-01-A1-ES-031_23012026_0900_"/>
    <x v="0"/>
    <m/>
  </r>
  <r>
    <x v="7"/>
    <s v="EP-CGCOE-01-A1-ES-031_24012026_1600_"/>
    <x v="0"/>
    <m/>
  </r>
  <r>
    <x v="7"/>
    <s v="EP-CGCOE-01-A1-ES-032_26012026_0900_"/>
    <x v="0"/>
    <m/>
  </r>
  <r>
    <x v="7"/>
    <s v="EP-CGCOE-01-A1-ES-032_27012026_0900_"/>
    <x v="0"/>
    <m/>
  </r>
  <r>
    <x v="7"/>
    <s v="EP-CGCOE-01-A1-ES-032_28012026_0900_"/>
    <x v="0"/>
    <m/>
  </r>
  <r>
    <x v="7"/>
    <s v="EP-CGCOE-01-A1-ES-032_29012026_0900_"/>
    <x v="0"/>
    <m/>
  </r>
  <r>
    <x v="7"/>
    <s v="EP-CGCOE-01-A1-ES-034_04032026_1600_Castellón"/>
    <x v="2"/>
    <m/>
  </r>
  <r>
    <x v="7"/>
    <s v="EP-CGCOE-01-A1-ES-034_04032026_1600_Castellón"/>
    <x v="1"/>
    <m/>
  </r>
  <r>
    <x v="7"/>
    <s v="EP-CGCOE-01-A1-ES-036_09022026_0830_Almería"/>
    <x v="0"/>
    <m/>
  </r>
  <r>
    <x v="7"/>
    <s v="EP-CGCOE-01-A1-ES-036_09022026_1600_Almería"/>
    <x v="0"/>
    <m/>
  </r>
  <r>
    <x v="7"/>
    <s v="EP-CGCOE-01-A1-ES-036_10022026_0830_Almería"/>
    <x v="0"/>
    <m/>
  </r>
  <r>
    <x v="7"/>
    <s v="EP-CGCOE-01-A1-ES-036_10022026_1600_Almería"/>
    <x v="0"/>
    <m/>
  </r>
  <r>
    <x v="7"/>
    <s v="EP-CGCOE-01-A1-ES-044_13022026_1600_Madrid"/>
    <x v="3"/>
    <m/>
  </r>
  <r>
    <x v="7"/>
    <s v="EP-CGCOE-01-A1-ES-044_16022026_1600_Madrid"/>
    <x v="0"/>
    <m/>
  </r>
  <r>
    <x v="7"/>
    <s v="EP-CGCOE-01-A1-ES-045_18022026_0900_Madrid"/>
    <x v="3"/>
    <m/>
  </r>
  <r>
    <x v="7"/>
    <s v="EP-CGCOE-01-A1-ES-046_24022026_1600_Madrid"/>
    <x v="3"/>
    <m/>
  </r>
  <r>
    <x v="7"/>
    <s v="EP-CGCOE-01-A1-ES-046_24022026_1600_Madrid"/>
    <x v="1"/>
    <m/>
  </r>
  <r>
    <x v="7"/>
    <s v="EP-CGCOE-01-A1-ES-046_02032026_1600_Madrid"/>
    <x v="1"/>
    <m/>
  </r>
  <r>
    <x v="7"/>
    <s v="EP-CGCOE-01-A1-ES-047_24022026_1600_Zaragoza"/>
    <x v="1"/>
    <m/>
  </r>
  <r>
    <x v="7"/>
    <s v="EP-CGCOE-01-A1-ES-047_26022026_1600_Zaragoza"/>
    <x v="1"/>
    <m/>
  </r>
  <r>
    <x v="7"/>
    <s v="EP-CGCOE-01-A1-ES-048_09032026_1600_Zaragoza"/>
    <x v="1"/>
    <m/>
  </r>
  <r>
    <x v="7"/>
    <s v="EP-CGCOE-01-A1-ES-048_10032026_0900_Zaragoza"/>
    <x v="1"/>
    <m/>
  </r>
  <r>
    <x v="7"/>
    <s v="EP-CGCOE-01-A1-ES-048_11032026_1600_Zaragoza"/>
    <x v="1"/>
    <m/>
  </r>
  <r>
    <x v="7"/>
    <s v="EP-CGCOE-01-A1-ES-052_03032026_0900_Sevilla"/>
    <x v="1"/>
    <m/>
  </r>
  <r>
    <x v="7"/>
    <s v="EP-CGCOE-01-A1-ES-052_03032026_1600_Sevilla"/>
    <x v="1"/>
    <m/>
  </r>
  <r>
    <x v="7"/>
    <s v="EP-CGCOE-01-A1-ES-052_05032026_0900_Sevilla"/>
    <x v="1"/>
    <m/>
  </r>
  <r>
    <x v="7"/>
    <s v="EP-CGCOE-01-A1-ES-052_05032026_1600_Sevilla"/>
    <x v="1"/>
    <m/>
  </r>
  <r>
    <x v="7"/>
    <s v="EP-CGCOE-01-A1-ES-055_04032026_1600_Palma de Mallorca"/>
    <x v="3"/>
    <m/>
  </r>
  <r>
    <x v="7"/>
    <s v="EP-CGCOE-01-A1-ES-055_04032026_1600_Palma de Mallorca"/>
    <x v="1"/>
    <m/>
  </r>
  <r>
    <x v="7"/>
    <s v="EP-CGCOE-01-A1-ES-055_05032026_1600_Palma de Mallorca"/>
    <x v="3"/>
    <m/>
  </r>
  <r>
    <x v="7"/>
    <s v="EP-CGCOE-01-A1-ES-055_05032026_1600_Palma de Mallorca"/>
    <x v="1"/>
    <m/>
  </r>
  <r>
    <x v="7"/>
    <s v="EP-CGCOE-01-A1-ES-055_11032026_1600_Palma de Mallorca"/>
    <x v="3"/>
    <m/>
  </r>
  <r>
    <x v="7"/>
    <s v="EP-CGCOE-01-A1-ES-055_11032026_1600_Palma de Mallorca"/>
    <x v="1"/>
    <m/>
  </r>
  <r>
    <x v="7"/>
    <s v="EP-CGCOE-01-A1-ES-057_09032026_1530_Tarragona"/>
    <x v="1"/>
    <m/>
  </r>
  <r>
    <x v="7"/>
    <s v="EP-CGCOE-01-A1-ES-057_11032026_1530_Tarragona"/>
    <x v="1"/>
    <m/>
  </r>
  <r>
    <x v="7"/>
    <s v="EP-CGCOE-01-A1-ES-059_11032026_1600_Salamanca"/>
    <x v="1"/>
    <m/>
  </r>
  <r>
    <x v="7"/>
    <s v="EP-CGCOE-01-A1-ES-061_04032026_1600_Madrid"/>
    <x v="3"/>
    <m/>
  </r>
  <r>
    <x v="7"/>
    <s v="EP-CGCOE-01-A1-ES-061_04032026_1600_Madrid"/>
    <x v="1"/>
    <m/>
  </r>
  <r>
    <x v="7"/>
    <s v="EP-CGCOE-01-A1-ES-061_11032026_1600_Madrid"/>
    <x v="3"/>
    <m/>
  </r>
  <r>
    <x v="7"/>
    <s v="EP-CGCOE-01-A1-ES-061_11032026_1600_Madrid"/>
    <x v="1"/>
    <m/>
  </r>
  <r>
    <x v="2"/>
    <s v="EW-CGAE-02-A2-ES-001_26012026_1530"/>
    <x v="4"/>
    <m/>
  </r>
  <r>
    <x v="2"/>
    <s v="EW-CGAE-02-A2-ES-001_28012026_1530"/>
    <x v="4"/>
    <m/>
  </r>
  <r>
    <x v="2"/>
    <s v="EW-CGAE-02-A2-ES-002_03022026_1530"/>
    <x v="4"/>
    <m/>
  </r>
  <r>
    <x v="2"/>
    <s v="EW-CGAE-02-A2-ES-002_10022026_1530"/>
    <x v="4"/>
    <m/>
  </r>
  <r>
    <x v="2"/>
    <s v="EW-CGAE-02-A2-ES01_19022026_1530"/>
    <x v="4"/>
    <m/>
  </r>
  <r>
    <x v="2"/>
    <s v="EW-CGAE-02-A2-ES02_05032026_1530"/>
    <x v="4"/>
    <m/>
  </r>
  <r>
    <x v="2"/>
    <s v="EW-CGAE-02-A2-ES01_03032026_1530"/>
    <x v="4"/>
    <m/>
  </r>
  <r>
    <x v="2"/>
    <s v="EW-CGAE-02-A2-ES01_03032026_1530"/>
    <x v="5"/>
    <m/>
  </r>
  <r>
    <x v="2"/>
    <s v="EW-CGAE-02-A2-ES02_10032026_1530"/>
    <x v="4"/>
    <m/>
  </r>
  <r>
    <x v="0"/>
    <s v="EW-CGTO-02-A2-ES-002_03122025_1600"/>
    <x v="4"/>
    <m/>
  </r>
  <r>
    <x v="0"/>
    <s v="EW-CGTO-02-A2-ES-010_04022026_1600"/>
    <x v="4"/>
    <m/>
  </r>
  <r>
    <x v="0"/>
    <s v="EW-CGTO-02-A2-ES-014_03032026_1900"/>
    <x v="5"/>
    <m/>
  </r>
  <r>
    <x v="0"/>
    <s v="EW-CGTO-02-A2-ES-014_04032026_1600"/>
    <x v="5"/>
    <m/>
  </r>
  <r>
    <x v="0"/>
    <s v="EW-CGTO-02-A2-ES-014_05032026_1900"/>
    <x v="5"/>
    <m/>
  </r>
  <r>
    <x v="0"/>
    <s v="EW-CGTO-02-A2-ES-019_19122025_0900"/>
    <x v="4"/>
    <m/>
  </r>
  <r>
    <x v="0"/>
    <s v="EW-CGTO-02-A2-ES-020_23122025_0900"/>
    <x v="4"/>
    <m/>
  </r>
  <r>
    <x v="3"/>
    <s v="EW-CSP-02-A3-ES-003_02032026_1830"/>
    <x v="4"/>
    <m/>
  </r>
  <r>
    <x v="3"/>
    <s v="EW-CSP-02-A3-ES-003_02032026_1830"/>
    <x v="5"/>
    <m/>
  </r>
  <r>
    <x v="3"/>
    <s v="EW-CSP-02-A3-ES-003_03032026_1830"/>
    <x v="4"/>
    <m/>
  </r>
  <r>
    <x v="3"/>
    <s v="EW-CSP-02-A3-ES-003_03032026_1830"/>
    <x v="5"/>
    <m/>
  </r>
  <r>
    <x v="3"/>
    <s v="EW-CSP-02-A3-ES-003_04032026_1830"/>
    <x v="4"/>
    <m/>
  </r>
  <r>
    <x v="3"/>
    <s v="EW-CSP-02-A3-ES-003_04032026_1830"/>
    <x v="5"/>
    <m/>
  </r>
  <r>
    <x v="3"/>
    <s v="EW-CSP-02-A3-ES-003_05032026_1830"/>
    <x v="4"/>
    <m/>
  </r>
  <r>
    <x v="3"/>
    <s v="EW-CSP-02-A3-ES-003_05032026_1830"/>
    <x v="5"/>
    <m/>
  </r>
  <r>
    <x v="8"/>
    <s v="EW-COIT-12-A2-ES-01_03032026_1800"/>
    <x v="5"/>
    <m/>
  </r>
  <r>
    <x v="8"/>
    <s v="EW-COIT-12-A2-ES-02_05032026_1800"/>
    <x v="4"/>
    <m/>
  </r>
  <r>
    <x v="1"/>
    <s v="Edición 6_17022026_1630"/>
    <x v="4"/>
    <m/>
  </r>
  <r>
    <x v="1"/>
    <s v="Edición 6_24022026_1630"/>
    <x v="4"/>
    <m/>
  </r>
  <r>
    <x v="1"/>
    <s v="Edición 6_25022026_1700"/>
    <x v="4"/>
    <m/>
  </r>
  <r>
    <x v="5"/>
    <s v="EW-CGATE-02-A2-ES-01_05032026_0900"/>
    <x v="4"/>
    <m/>
  </r>
  <r>
    <x v="6"/>
    <s v="EW-CGCOSITA-02-A5-ES-001_15122025_1000"/>
    <x v="5"/>
    <m/>
  </r>
  <r>
    <x v="9"/>
    <s v="EW-CGCOM-02-A1-ES-04_06032026_1700"/>
    <x v="4"/>
    <m/>
  </r>
  <r>
    <x v="9"/>
    <s v="EW-CGCOM-02-A1-ES-01_07032026_0900"/>
    <x v="4"/>
    <m/>
  </r>
  <r>
    <x v="9"/>
    <s v="EW-CGCOM-02-A1-ES-02_07032026_1200"/>
    <x v="4"/>
    <m/>
  </r>
  <r>
    <x v="9"/>
    <s v="EW-CGCOM-02-A1-ES-03_07032026_0900"/>
    <x v="4"/>
    <m/>
  </r>
  <r>
    <x v="9"/>
    <s v="EW-CGCOM-02-A1-ES-04_07032026_1200"/>
    <x v="4"/>
    <m/>
  </r>
  <r>
    <x v="9"/>
    <s v="EW-CGCOM-02-A1-ES-01_08032026_0900"/>
    <x v="4"/>
    <m/>
  </r>
  <r>
    <x v="9"/>
    <s v="EW-CGCOM-02-A1-ES-02_08032026_1200"/>
    <x v="4"/>
    <m/>
  </r>
  <r>
    <x v="9"/>
    <s v="EW-CGCOM-02-A1-ES-03_08032026_0900"/>
    <x v="4"/>
    <m/>
  </r>
  <r>
    <x v="4"/>
    <s v="EW-COLEF-02-A5-ES-001_02022026_1900"/>
    <x v="6"/>
    <m/>
  </r>
  <r>
    <x v="4"/>
    <s v="EW-COLEF-02-A5-ES-001_02022026_1900"/>
    <x v="4"/>
    <m/>
  </r>
  <r>
    <x v="4"/>
    <s v="EW-COLEF-02-A5-ES-001_03022026_1900"/>
    <x v="6"/>
    <m/>
  </r>
  <r>
    <x v="4"/>
    <s v="EW-COLEF-02-A5-ES-001_04022026_1900"/>
    <x v="6"/>
    <m/>
  </r>
  <r>
    <x v="4"/>
    <s v="EW-COLEF-02-A5-ES-001_05022026_1900"/>
    <x v="6"/>
    <m/>
  </r>
  <r>
    <x v="4"/>
    <s v="EW-COLEF-02-A5-ES-002_06022026_1600"/>
    <x v="6"/>
    <m/>
  </r>
  <r>
    <x v="4"/>
    <s v="EW-COLEF-02-A5-ES-002_06022026_1600"/>
    <x v="4"/>
    <m/>
  </r>
  <r>
    <x v="4"/>
    <s v="EW-COLEF-02-A5-ES-002_06022026_1845"/>
    <x v="6"/>
    <m/>
  </r>
  <r>
    <x v="4"/>
    <s v="EW-COLEF-02-A5-ES-002_13022026_1600"/>
    <x v="6"/>
    <m/>
  </r>
  <r>
    <x v="4"/>
    <s v="EW-COLEF-02-A5-ES-002_13022026_1845"/>
    <x v="6"/>
    <m/>
  </r>
  <r>
    <x v="4"/>
    <s v="EW-COLEF-02-A5-ES-003_07022026_0900"/>
    <x v="6"/>
    <m/>
  </r>
  <r>
    <x v="4"/>
    <s v="EW-COLEF-02-A5-ES-003_07022026_0900"/>
    <x v="4"/>
    <m/>
  </r>
  <r>
    <x v="4"/>
    <s v="EW-COLEF-02-A5-ES-003_07022026_1145"/>
    <x v="6"/>
    <m/>
  </r>
  <r>
    <x v="4"/>
    <s v="EW-COLEF-02-A5-ES-003_07022026_1145"/>
    <x v="4"/>
    <m/>
  </r>
  <r>
    <x v="4"/>
    <s v="EW-COLEF-02-A5-ES-003_14022026_0900"/>
    <x v="6"/>
    <m/>
  </r>
  <r>
    <x v="4"/>
    <s v="EW-COLEF-02-A5-ES-003_14022026_1145"/>
    <x v="6"/>
    <m/>
  </r>
  <r>
    <x v="4"/>
    <s v="EW-COLEF-02-A5-ES-01_09032026_1900"/>
    <x v="6"/>
    <m/>
  </r>
  <r>
    <x v="4"/>
    <s v="EW-COLEF-02-A5-ES-02_10032026_1900"/>
    <x v="6"/>
    <m/>
  </r>
  <r>
    <x v="4"/>
    <s v="EW-COLEF-02-A5-ES-03_11032026_1900"/>
    <x v="6"/>
    <m/>
  </r>
  <r>
    <x v="4"/>
    <s v="EW-COLEF-02-A5-ES-04_12032026_1900"/>
    <x v="6"/>
    <m/>
  </r>
  <r>
    <x v="4"/>
    <s v="EW-COLEF-02-A5-ES-01_30032026_1000"/>
    <x v="6"/>
    <m/>
  </r>
  <r>
    <x v="4"/>
    <s v="EW-COLEF-02-A5-ES-02_25032026_1230"/>
    <x v="6"/>
    <m/>
  </r>
  <r>
    <x v="4"/>
    <s v="EW-COLEF-02-A5-ES-03_24032026_0900"/>
    <x v="6"/>
    <m/>
  </r>
  <r>
    <x v="4"/>
    <s v="EW-COLEF-02-A5-ES-04_26032026_1000"/>
    <x v="6"/>
    <m/>
  </r>
  <r>
    <x v="4"/>
    <s v="EW-COLEF-02-A5-ES-01_17042026_1600"/>
    <x v="6"/>
    <m/>
  </r>
  <r>
    <x v="4"/>
    <s v="EW-COLEF-02-A5-ES-02_17042026_1845"/>
    <x v="6"/>
    <m/>
  </r>
  <r>
    <x v="4"/>
    <s v="EW-COLEF-02-A5-ES-03_24042026_1600"/>
    <x v="6"/>
    <m/>
  </r>
  <r>
    <x v="4"/>
    <s v="EW-COLEF-02-A5-ES-04_24042026_1845"/>
    <x v="6"/>
    <m/>
  </r>
  <r>
    <x v="4"/>
    <s v="EW-COLEF-02-A5-ES-01_25042026_0900"/>
    <x v="6"/>
    <m/>
  </r>
  <r>
    <x v="4"/>
    <s v="EW-COLEF-02-A5-ES-02_25042026_1145"/>
    <x v="6"/>
    <m/>
  </r>
  <r>
    <x v="4"/>
    <s v="EW-COLEF-02-A5-ES-03_02052026_0900"/>
    <x v="6"/>
    <m/>
  </r>
  <r>
    <x v="4"/>
    <s v="EW-COLEF-02-A5-ES-04_02052026_1145"/>
    <x v="6"/>
    <m/>
  </r>
  <r>
    <x v="4"/>
    <s v="EW-COLEF-02-A5-ES-01_18052026_1000"/>
    <x v="6"/>
    <m/>
  </r>
  <r>
    <x v="4"/>
    <s v="EW-COLEF-02-A5-ES-02_19052026_1000"/>
    <x v="6"/>
    <m/>
  </r>
  <r>
    <x v="4"/>
    <s v="EW-COLEF-02-A5-ES-03_20052026_1000"/>
    <x v="6"/>
    <m/>
  </r>
  <r>
    <x v="4"/>
    <s v="EW-COLEF-02-A5-ES-04_21052026_1000"/>
    <x v="6"/>
    <m/>
  </r>
  <r>
    <x v="4"/>
    <s v="EW-COLEF-02-A5-ES-01_22052026_1600"/>
    <x v="6"/>
    <m/>
  </r>
  <r>
    <x v="4"/>
    <s v="EW-COLEF-02-A5-ES-02_22052026_1845"/>
    <x v="6"/>
    <m/>
  </r>
  <r>
    <x v="4"/>
    <s v="EW-COLEF-02-A5-ES-03_29052026_1600"/>
    <x v="6"/>
    <m/>
  </r>
  <r>
    <x v="4"/>
    <s v="EW-COLEF-02-A5-ES-04_29052026_1845"/>
    <x v="6"/>
    <m/>
  </r>
  <r>
    <x v="4"/>
    <s v="EW-COLEF-02-A5-ES-01_25052026_1900"/>
    <x v="6"/>
    <m/>
  </r>
  <r>
    <x v="4"/>
    <s v="EW-COLEF-02-A5-ES-02_26052026_1900"/>
    <x v="6"/>
    <m/>
  </r>
  <r>
    <x v="4"/>
    <s v="EW-COLEF-02-A5-ES-03_27052026_1900"/>
    <x v="6"/>
    <m/>
  </r>
  <r>
    <x v="4"/>
    <s v="EW-COLEF-02-A5-ES-04_28052026_1900"/>
    <x v="6"/>
    <m/>
  </r>
  <r>
    <x v="10"/>
    <s v="EW-IAE-02-A1-ES_00011900_0000"/>
    <x v="7"/>
    <m/>
  </r>
  <r>
    <x v="10"/>
    <s v="EW-IAE-02-A1-ES_00011900_0000"/>
    <x v="6"/>
    <m/>
  </r>
  <r>
    <x v="11"/>
    <s v="EW-COGITI-02-A5-ES-02_24022026_1600"/>
    <x v="4"/>
    <m/>
  </r>
  <r>
    <x v="11"/>
    <s v="EW-COGITI-02-A5-ES-04_26022026_1600"/>
    <x v="5"/>
    <m/>
  </r>
  <r>
    <x v="11"/>
    <s v="EW-COGITI-02-A5-ES-01_02032026_1800"/>
    <x v="5"/>
    <m/>
  </r>
  <r>
    <x v="11"/>
    <s v="EW-COGITI-02-A5-ES-03_04032026_1800"/>
    <x v="4"/>
    <m/>
  </r>
  <r>
    <x v="11"/>
    <s v="EW-COGITI-02-A5-ES-03_04032026_1800"/>
    <x v="5"/>
    <m/>
  </r>
  <r>
    <x v="11"/>
    <s v="EW-COGITI-02-A5-ES-04_05032026_1800"/>
    <x v="6"/>
    <m/>
  </r>
  <r>
    <x v="11"/>
    <s v="EW-COGITI-02-A5-ES-04_05032026_1800"/>
    <x v="4"/>
    <m/>
  </r>
  <r>
    <x v="11"/>
    <s v="EW-COGITI-02-A5-ES-04_26032026_1800"/>
    <x v="6"/>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r>
    <x v="12"/>
    <m/>
    <x v="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798B3C-3F81-4257-A53D-F4F2EDDA554E}" name="TablaDinámica1" cacheId="3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K18" firstHeaderRow="1" firstDataRow="2" firstDataCol="1"/>
  <pivotFields count="4">
    <pivotField axis="axisRow" showAll="0" sortType="descending">
      <items count="15">
        <item x="2"/>
        <item x="10"/>
        <item x="5"/>
        <item x="6"/>
        <item x="4"/>
        <item x="7"/>
        <item m="1" x="13"/>
        <item x="8"/>
        <item x="3"/>
        <item x="11"/>
        <item x="0"/>
        <item x="1"/>
        <item x="9"/>
        <item x="12"/>
        <item t="default"/>
      </items>
      <autoSortScope>
        <pivotArea dataOnly="0" outline="0" fieldPosition="0">
          <references count="1">
            <reference field="4294967294" count="1" selected="0">
              <x v="0"/>
            </reference>
          </references>
        </pivotArea>
      </autoSortScope>
    </pivotField>
    <pivotField showAll="0"/>
    <pivotField axis="axisCol" dataField="1" showAll="0">
      <items count="10">
        <item x="3"/>
        <item x="2"/>
        <item x="1"/>
        <item x="7"/>
        <item x="0"/>
        <item x="5"/>
        <item x="4"/>
        <item x="6"/>
        <item x="8"/>
        <item t="default"/>
      </items>
    </pivotField>
    <pivotField showAll="0"/>
  </pivotFields>
  <rowFields count="1">
    <field x="0"/>
  </rowFields>
  <rowItems count="14">
    <i>
      <x v="11"/>
    </i>
    <i>
      <x v="5"/>
    </i>
    <i>
      <x v="10"/>
    </i>
    <i>
      <x v="4"/>
    </i>
    <i>
      <x/>
    </i>
    <i>
      <x v="8"/>
    </i>
    <i>
      <x v="12"/>
    </i>
    <i>
      <x v="9"/>
    </i>
    <i>
      <x v="2"/>
    </i>
    <i>
      <x v="1"/>
    </i>
    <i>
      <x v="3"/>
    </i>
    <i>
      <x v="7"/>
    </i>
    <i>
      <x v="13"/>
    </i>
    <i t="grand">
      <x/>
    </i>
  </rowItems>
  <colFields count="1">
    <field x="2"/>
  </colFields>
  <colItems count="10">
    <i>
      <x/>
    </i>
    <i>
      <x v="1"/>
    </i>
    <i>
      <x v="2"/>
    </i>
    <i>
      <x v="3"/>
    </i>
    <i>
      <x v="4"/>
    </i>
    <i>
      <x v="5"/>
    </i>
    <i>
      <x v="6"/>
    </i>
    <i>
      <x v="7"/>
    </i>
    <i>
      <x v="8"/>
    </i>
    <i t="grand">
      <x/>
    </i>
  </colItems>
  <dataFields count="1">
    <dataField name="Cuenta de EVIDENCIA PENDIENT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587E2F-D3CB-44DD-8E96-5527A8004B0A}" name="Tabla1" displayName="Tabla1" ref="A2:D416" totalsRowShown="0" headerRowDxfId="8" dataDxfId="7" headerRowBorderDxfId="5" tableBorderDxfId="6" totalsRowBorderDxfId="4">
  <autoFilter ref="A2:D416" xr:uid="{27587E2F-D3CB-44DD-8E96-5527A8004B0A}"/>
  <tableColumns count="4">
    <tableColumn id="1" xr3:uid="{6D693788-DC50-4C78-A1F0-2F7D156BE7AA}" name="CONSEJO" dataDxfId="3"/>
    <tableColumn id="2" xr3:uid="{7B5E7798-D147-486D-8E5B-600A1CA1EFCE}" name="SESIÓN" dataDxfId="2"/>
    <tableColumn id="3" xr3:uid="{D0C46CEE-CD86-4E9E-9F5E-84B8DC4070DB}" name="EVIDENCIA PENDIENTE" dataDxfId="0"/>
    <tableColumn id="4" xr3:uid="{1131677C-C708-4389-AF06-E374272ADC13}" name="NOTAS (opcional)"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0"/>
  <sheetViews>
    <sheetView showGridLines="0" topLeftCell="A7" workbookViewId="0"/>
  </sheetViews>
  <sheetFormatPr defaultColWidth="9.1796875" defaultRowHeight="14.5" x14ac:dyDescent="0.35"/>
  <cols>
    <col min="1" max="1" width="3" customWidth="1"/>
    <col min="2" max="2" width="28" customWidth="1"/>
    <col min="3" max="3" width="70" customWidth="1"/>
  </cols>
  <sheetData>
    <row r="1" spans="2:3" ht="35.15" customHeight="1" x14ac:dyDescent="0.35">
      <c r="B1" s="31" t="s">
        <v>0</v>
      </c>
      <c r="C1" s="32"/>
    </row>
    <row r="2" spans="2:3" ht="22" customHeight="1" x14ac:dyDescent="0.35">
      <c r="B2" s="33" t="s">
        <v>1</v>
      </c>
      <c r="C2" s="32"/>
    </row>
    <row r="3" spans="2:3" ht="40" customHeight="1" x14ac:dyDescent="0.35">
      <c r="B3" s="1" t="s">
        <v>2</v>
      </c>
      <c r="C3" s="2" t="s">
        <v>3</v>
      </c>
    </row>
    <row r="4" spans="2:3" ht="40" customHeight="1" x14ac:dyDescent="0.35">
      <c r="B4" s="1" t="s">
        <v>4</v>
      </c>
      <c r="C4" s="2" t="s">
        <v>5</v>
      </c>
    </row>
    <row r="5" spans="2:3" ht="40" customHeight="1" x14ac:dyDescent="0.35">
      <c r="B5" s="1" t="s">
        <v>6</v>
      </c>
      <c r="C5" s="2" t="s">
        <v>7</v>
      </c>
    </row>
    <row r="6" spans="2:3" ht="40" customHeight="1" x14ac:dyDescent="0.35">
      <c r="B6" s="1" t="s">
        <v>8</v>
      </c>
      <c r="C6" s="2" t="s">
        <v>9</v>
      </c>
    </row>
    <row r="7" spans="2:3" ht="40" customHeight="1" x14ac:dyDescent="0.35">
      <c r="B7" s="1" t="s">
        <v>10</v>
      </c>
      <c r="C7" s="2" t="s">
        <v>11</v>
      </c>
    </row>
    <row r="8" spans="2:3" ht="40" customHeight="1" x14ac:dyDescent="0.35">
      <c r="B8" s="1" t="s">
        <v>12</v>
      </c>
      <c r="C8" s="2" t="s">
        <v>13</v>
      </c>
    </row>
    <row r="9" spans="2:3" ht="40" customHeight="1" x14ac:dyDescent="0.35">
      <c r="B9" s="1" t="s">
        <v>14</v>
      </c>
      <c r="C9" s="2" t="s">
        <v>15</v>
      </c>
    </row>
    <row r="10" spans="2:3" ht="40" customHeight="1" x14ac:dyDescent="0.35">
      <c r="B10" s="1" t="s">
        <v>16</v>
      </c>
      <c r="C10" s="2" t="s">
        <v>17</v>
      </c>
    </row>
  </sheetData>
  <mergeCells count="2">
    <mergeCell ref="B1:C1"/>
    <mergeCell ref="B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4"/>
  <sheetViews>
    <sheetView showGridLines="0" zoomScale="110" zoomScaleNormal="110" workbookViewId="0">
      <selection activeCell="C6" sqref="C6"/>
    </sheetView>
  </sheetViews>
  <sheetFormatPr defaultColWidth="9.1796875" defaultRowHeight="14.5" x14ac:dyDescent="0.35"/>
  <cols>
    <col min="1" max="1" width="3" customWidth="1"/>
    <col min="2" max="3" width="35" customWidth="1"/>
  </cols>
  <sheetData>
    <row r="1" spans="2:3" ht="30" customHeight="1" x14ac:dyDescent="0.35">
      <c r="B1" s="34" t="s">
        <v>18</v>
      </c>
      <c r="C1" s="32"/>
    </row>
    <row r="2" spans="2:3" x14ac:dyDescent="0.35">
      <c r="B2" s="3" t="s">
        <v>19</v>
      </c>
      <c r="C2" s="3" t="s">
        <v>20</v>
      </c>
    </row>
    <row r="3" spans="2:3" ht="22" customHeight="1" x14ac:dyDescent="0.35">
      <c r="B3" s="4" t="s">
        <v>21</v>
      </c>
      <c r="C3" s="5" t="s">
        <v>411</v>
      </c>
    </row>
    <row r="4" spans="2:3" ht="22" customHeight="1" x14ac:dyDescent="0.35">
      <c r="B4" s="4" t="s">
        <v>22</v>
      </c>
      <c r="C4" s="10" t="s">
        <v>309</v>
      </c>
    </row>
  </sheetData>
  <mergeCells count="1">
    <mergeCell ref="B1: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showGridLines="0" zoomScale="70" zoomScaleNormal="70" workbookViewId="0">
      <pane xSplit="2" ySplit="2" topLeftCell="Q14" activePane="bottomRight" state="frozen"/>
      <selection pane="topRight"/>
      <selection pane="bottomLeft"/>
      <selection pane="bottomRight" activeCell="E22" sqref="E22"/>
    </sheetView>
  </sheetViews>
  <sheetFormatPr defaultColWidth="9.1796875" defaultRowHeight="14.5" x14ac:dyDescent="0.35"/>
  <cols>
    <col min="1" max="1" width="39.7265625" customWidth="1"/>
    <col min="2" max="4" width="12" customWidth="1"/>
    <col min="5" max="5" width="14" customWidth="1"/>
    <col min="6" max="6" width="12" customWidth="1"/>
    <col min="7" max="7" width="10" customWidth="1"/>
    <col min="8" max="8" width="12" customWidth="1"/>
    <col min="9" max="10" width="10" customWidth="1"/>
    <col min="11" max="11" width="18" customWidth="1"/>
    <col min="12" max="12" width="14" customWidth="1"/>
    <col min="13" max="13" width="16" customWidth="1"/>
    <col min="14" max="17" width="11" customWidth="1"/>
    <col min="18" max="20" width="45" customWidth="1"/>
    <col min="21" max="21" width="70" customWidth="1"/>
  </cols>
  <sheetData>
    <row r="1" spans="1:21" ht="28" customHeight="1" x14ac:dyDescent="0.35">
      <c r="A1" s="34" t="s">
        <v>24</v>
      </c>
      <c r="B1" s="32"/>
      <c r="C1" s="32"/>
      <c r="D1" s="32"/>
      <c r="E1" s="32"/>
      <c r="F1" s="32"/>
      <c r="G1" s="32"/>
      <c r="H1" s="32"/>
      <c r="I1" s="32"/>
      <c r="J1" s="32"/>
      <c r="K1" s="32"/>
      <c r="L1" s="32"/>
      <c r="M1" s="32"/>
      <c r="N1" s="32"/>
      <c r="O1" s="32"/>
      <c r="P1" s="32"/>
      <c r="Q1" s="32"/>
      <c r="R1" s="32"/>
      <c r="S1" s="32"/>
      <c r="T1" s="32"/>
      <c r="U1" s="32"/>
    </row>
    <row r="2" spans="1:21" ht="26" x14ac:dyDescent="0.35">
      <c r="A2" s="3" t="s">
        <v>25</v>
      </c>
      <c r="B2" s="3" t="s">
        <v>26</v>
      </c>
      <c r="C2" s="3" t="s">
        <v>27</v>
      </c>
      <c r="D2" s="3" t="s">
        <v>28</v>
      </c>
      <c r="E2" s="3" t="s">
        <v>29</v>
      </c>
      <c r="F2" s="3" t="s">
        <v>30</v>
      </c>
      <c r="G2" s="3" t="s">
        <v>31</v>
      </c>
      <c r="H2" s="3" t="s">
        <v>32</v>
      </c>
      <c r="I2" s="3" t="s">
        <v>33</v>
      </c>
      <c r="J2" s="3" t="s">
        <v>34</v>
      </c>
      <c r="K2" s="3" t="s">
        <v>35</v>
      </c>
      <c r="L2" s="3" t="s">
        <v>36</v>
      </c>
      <c r="M2" s="3" t="s">
        <v>37</v>
      </c>
      <c r="N2" s="3" t="s">
        <v>38</v>
      </c>
      <c r="O2" s="3" t="s">
        <v>39</v>
      </c>
      <c r="P2" s="3" t="s">
        <v>40</v>
      </c>
      <c r="Q2" s="3" t="s">
        <v>41</v>
      </c>
      <c r="R2" s="3" t="s">
        <v>42</v>
      </c>
      <c r="S2" s="3" t="s">
        <v>43</v>
      </c>
      <c r="T2" s="3" t="s">
        <v>44</v>
      </c>
      <c r="U2" s="3" t="s">
        <v>45</v>
      </c>
    </row>
    <row r="3" spans="1:21" ht="60" customHeight="1" x14ac:dyDescent="0.35">
      <c r="A3" s="6" t="s">
        <v>46</v>
      </c>
      <c r="B3" s="5">
        <v>725</v>
      </c>
      <c r="C3" s="7">
        <v>500</v>
      </c>
      <c r="D3" s="7">
        <v>1250</v>
      </c>
      <c r="E3" s="18">
        <v>-1.4E-3</v>
      </c>
      <c r="F3" s="5">
        <v>152</v>
      </c>
      <c r="G3" s="7">
        <v>8</v>
      </c>
      <c r="H3" s="7">
        <v>0</v>
      </c>
      <c r="I3" s="7">
        <v>0</v>
      </c>
      <c r="J3" s="7">
        <v>10</v>
      </c>
      <c r="K3" s="7" t="s">
        <v>47</v>
      </c>
      <c r="L3" s="7" t="s">
        <v>48</v>
      </c>
      <c r="M3" s="7" t="s">
        <v>49</v>
      </c>
      <c r="N3" s="5">
        <v>6</v>
      </c>
      <c r="O3" s="5">
        <v>12</v>
      </c>
      <c r="P3" s="5">
        <v>0</v>
      </c>
      <c r="Q3" s="5">
        <v>3</v>
      </c>
      <c r="R3" s="8"/>
      <c r="S3" s="21"/>
      <c r="T3" s="8"/>
      <c r="U3" s="8"/>
    </row>
    <row r="4" spans="1:21" ht="60" customHeight="1" x14ac:dyDescent="0.35">
      <c r="A4" s="6" t="s">
        <v>50</v>
      </c>
      <c r="B4" s="5">
        <v>232</v>
      </c>
      <c r="C4" s="7">
        <v>140</v>
      </c>
      <c r="D4" s="7">
        <v>350</v>
      </c>
      <c r="E4" s="18">
        <v>0</v>
      </c>
      <c r="F4" s="5">
        <v>70</v>
      </c>
      <c r="G4" s="7">
        <v>8</v>
      </c>
      <c r="H4" s="7">
        <v>2</v>
      </c>
      <c r="I4" s="7">
        <v>0</v>
      </c>
      <c r="J4" s="7">
        <v>6</v>
      </c>
      <c r="K4" s="7" t="s">
        <v>51</v>
      </c>
      <c r="L4" s="7" t="s">
        <v>51</v>
      </c>
      <c r="M4" s="14" t="s">
        <v>307</v>
      </c>
      <c r="N4" s="5">
        <v>0</v>
      </c>
      <c r="O4" s="5">
        <v>0</v>
      </c>
      <c r="P4" s="5">
        <v>0</v>
      </c>
      <c r="Q4" s="5">
        <v>0</v>
      </c>
      <c r="R4" s="8"/>
      <c r="S4" s="21"/>
      <c r="T4" s="8"/>
      <c r="U4" s="8"/>
    </row>
    <row r="5" spans="1:21" ht="60" customHeight="1" x14ac:dyDescent="0.35">
      <c r="A5" s="6" t="s">
        <v>52</v>
      </c>
      <c r="B5" s="13">
        <v>425</v>
      </c>
      <c r="C5" s="7">
        <v>500</v>
      </c>
      <c r="D5" s="7">
        <v>1250</v>
      </c>
      <c r="E5" s="18">
        <v>6.8000000000000005E-2</v>
      </c>
      <c r="F5" s="5">
        <v>136</v>
      </c>
      <c r="G5" s="7">
        <v>10</v>
      </c>
      <c r="H5" s="7">
        <v>2</v>
      </c>
      <c r="I5" s="7">
        <v>0</v>
      </c>
      <c r="J5" s="7">
        <v>8</v>
      </c>
      <c r="K5" s="7" t="s">
        <v>53</v>
      </c>
      <c r="L5" s="7" t="s">
        <v>48</v>
      </c>
      <c r="M5" s="14" t="s">
        <v>305</v>
      </c>
      <c r="N5" s="5">
        <v>8</v>
      </c>
      <c r="O5" s="5">
        <v>0</v>
      </c>
      <c r="P5" s="5">
        <v>0</v>
      </c>
      <c r="Q5" s="5">
        <v>0</v>
      </c>
      <c r="R5" s="8"/>
      <c r="S5" s="8"/>
      <c r="T5" s="8"/>
      <c r="U5" s="8" t="s">
        <v>404</v>
      </c>
    </row>
    <row r="6" spans="1:21" ht="60" customHeight="1" x14ac:dyDescent="0.35">
      <c r="A6" s="6" t="s">
        <v>54</v>
      </c>
      <c r="B6" s="5">
        <v>283</v>
      </c>
      <c r="C6" s="7">
        <v>160</v>
      </c>
      <c r="D6" s="7">
        <v>400</v>
      </c>
      <c r="E6" s="19">
        <v>-0.01</v>
      </c>
      <c r="F6" s="5">
        <v>5</v>
      </c>
      <c r="G6" s="7">
        <v>10</v>
      </c>
      <c r="H6" s="7">
        <v>0</v>
      </c>
      <c r="I6" s="7">
        <v>0</v>
      </c>
      <c r="J6" s="7">
        <v>10</v>
      </c>
      <c r="K6" s="7" t="s">
        <v>49</v>
      </c>
      <c r="L6" s="7" t="s">
        <v>55</v>
      </c>
      <c r="M6" s="14" t="s">
        <v>308</v>
      </c>
      <c r="N6" s="5">
        <v>0</v>
      </c>
      <c r="O6" s="5">
        <v>19</v>
      </c>
      <c r="P6" s="5">
        <v>0</v>
      </c>
      <c r="Q6" s="5">
        <v>36</v>
      </c>
      <c r="R6" s="8"/>
      <c r="S6" s="8"/>
      <c r="T6" s="8"/>
      <c r="U6" s="8"/>
    </row>
    <row r="7" spans="1:21" ht="60" customHeight="1" x14ac:dyDescent="0.35">
      <c r="A7" s="6" t="s">
        <v>56</v>
      </c>
      <c r="B7" s="5">
        <v>232</v>
      </c>
      <c r="C7" s="7">
        <v>300</v>
      </c>
      <c r="D7" s="7">
        <v>750</v>
      </c>
      <c r="E7" s="27">
        <v>-8.5000000000000006E-3</v>
      </c>
      <c r="F7" s="5">
        <v>61</v>
      </c>
      <c r="G7" s="7">
        <v>8</v>
      </c>
      <c r="H7" s="7">
        <v>6</v>
      </c>
      <c r="I7" s="7">
        <v>0</v>
      </c>
      <c r="J7" s="7">
        <v>2</v>
      </c>
      <c r="K7" s="7" t="s">
        <v>57</v>
      </c>
      <c r="L7" s="7" t="s">
        <v>57</v>
      </c>
      <c r="M7" s="7" t="s">
        <v>57</v>
      </c>
      <c r="N7" s="5">
        <v>0</v>
      </c>
      <c r="O7" s="5">
        <v>0</v>
      </c>
      <c r="P7" s="5">
        <v>0</v>
      </c>
      <c r="Q7" s="5">
        <v>0</v>
      </c>
      <c r="R7" s="8"/>
      <c r="S7" s="21"/>
      <c r="T7" s="8"/>
      <c r="U7" s="8"/>
    </row>
    <row r="8" spans="1:21" ht="60" customHeight="1" x14ac:dyDescent="0.35">
      <c r="A8" s="6" t="s">
        <v>58</v>
      </c>
      <c r="B8" s="5">
        <v>1953</v>
      </c>
      <c r="C8" s="7">
        <v>1200</v>
      </c>
      <c r="D8" s="7">
        <v>3000</v>
      </c>
      <c r="E8" s="18">
        <v>1.4999999999999999E-2</v>
      </c>
      <c r="F8" s="5">
        <v>427</v>
      </c>
      <c r="G8" s="7">
        <v>9</v>
      </c>
      <c r="H8" s="14">
        <v>1</v>
      </c>
      <c r="I8" s="7">
        <v>0</v>
      </c>
      <c r="J8" s="7">
        <v>9</v>
      </c>
      <c r="K8" s="7" t="s">
        <v>59</v>
      </c>
      <c r="L8" s="7" t="s">
        <v>60</v>
      </c>
      <c r="M8" s="7" t="s">
        <v>59</v>
      </c>
      <c r="N8" s="5">
        <v>25</v>
      </c>
      <c r="O8" s="5">
        <v>13</v>
      </c>
      <c r="P8" s="5">
        <v>70</v>
      </c>
      <c r="Q8" s="5">
        <v>2</v>
      </c>
      <c r="R8" s="21" t="s">
        <v>310</v>
      </c>
      <c r="S8" s="8"/>
      <c r="T8" s="21"/>
      <c r="U8" s="8" t="s">
        <v>405</v>
      </c>
    </row>
    <row r="9" spans="1:21" ht="60" customHeight="1" x14ac:dyDescent="0.35">
      <c r="A9" s="6" t="s">
        <v>61</v>
      </c>
      <c r="B9" s="5">
        <v>1380</v>
      </c>
      <c r="C9" s="7">
        <v>1300</v>
      </c>
      <c r="D9" s="7">
        <v>3250</v>
      </c>
      <c r="E9" s="18">
        <v>5.0000000000000001E-3</v>
      </c>
      <c r="F9" s="5">
        <v>87</v>
      </c>
      <c r="G9" s="7">
        <v>11</v>
      </c>
      <c r="H9" s="7">
        <v>0</v>
      </c>
      <c r="I9" s="7">
        <v>0</v>
      </c>
      <c r="J9" s="7">
        <v>11</v>
      </c>
      <c r="K9" s="7" t="s">
        <v>48</v>
      </c>
      <c r="L9" s="7" t="s">
        <v>53</v>
      </c>
      <c r="M9" s="7" t="s">
        <v>48</v>
      </c>
      <c r="N9" s="5">
        <v>43</v>
      </c>
      <c r="O9" s="5">
        <v>46</v>
      </c>
      <c r="P9" s="5">
        <v>18</v>
      </c>
      <c r="Q9" s="5">
        <v>35</v>
      </c>
      <c r="R9" s="21"/>
      <c r="S9" s="8"/>
      <c r="T9" s="8"/>
      <c r="U9" s="8" t="s">
        <v>398</v>
      </c>
    </row>
    <row r="10" spans="1:21" ht="60" customHeight="1" x14ac:dyDescent="0.35">
      <c r="A10" s="6" t="s">
        <v>62</v>
      </c>
      <c r="B10" s="5">
        <v>4612</v>
      </c>
      <c r="C10" s="7">
        <v>2515</v>
      </c>
      <c r="D10" s="7">
        <v>6287.5</v>
      </c>
      <c r="E10" s="18">
        <v>4.0000000000000001E-3</v>
      </c>
      <c r="F10" s="5">
        <v>972</v>
      </c>
      <c r="G10" s="7">
        <v>8</v>
      </c>
      <c r="H10" s="7">
        <v>0</v>
      </c>
      <c r="I10" s="7">
        <v>0</v>
      </c>
      <c r="J10" s="7">
        <v>8</v>
      </c>
      <c r="K10" s="7" t="s">
        <v>63</v>
      </c>
      <c r="L10" s="7" t="s">
        <v>64</v>
      </c>
      <c r="M10" s="7" t="s">
        <v>63</v>
      </c>
      <c r="N10" s="5">
        <v>16</v>
      </c>
      <c r="O10" s="5">
        <v>6</v>
      </c>
      <c r="P10" s="5">
        <v>18</v>
      </c>
      <c r="Q10" s="5">
        <v>36</v>
      </c>
      <c r="R10" s="21" t="s">
        <v>311</v>
      </c>
      <c r="S10" s="8"/>
      <c r="T10" s="21" t="s">
        <v>312</v>
      </c>
      <c r="U10" s="8" t="s">
        <v>401</v>
      </c>
    </row>
    <row r="11" spans="1:21" ht="60" customHeight="1" x14ac:dyDescent="0.35">
      <c r="A11" s="6" t="s">
        <v>65</v>
      </c>
      <c r="B11" s="5">
        <v>0</v>
      </c>
      <c r="C11" s="7">
        <v>200</v>
      </c>
      <c r="D11" s="7">
        <v>500</v>
      </c>
      <c r="E11" s="19">
        <v>0</v>
      </c>
      <c r="F11" s="5">
        <v>0</v>
      </c>
      <c r="G11" s="7">
        <v>8</v>
      </c>
      <c r="H11" s="7">
        <v>3</v>
      </c>
      <c r="I11" s="7">
        <v>3</v>
      </c>
      <c r="J11" s="7">
        <v>2</v>
      </c>
      <c r="K11" s="7" t="s">
        <v>66</v>
      </c>
      <c r="L11" s="7" t="s">
        <v>66</v>
      </c>
      <c r="M11" s="7" t="s">
        <v>66</v>
      </c>
      <c r="N11" s="5">
        <v>0</v>
      </c>
      <c r="O11" s="5">
        <v>0</v>
      </c>
      <c r="P11" s="5">
        <v>0</v>
      </c>
      <c r="Q11" s="5">
        <v>0</v>
      </c>
      <c r="R11" s="21"/>
      <c r="S11" s="8"/>
      <c r="T11" s="8"/>
      <c r="U11" s="8"/>
    </row>
    <row r="12" spans="1:21" ht="60" customHeight="1" x14ac:dyDescent="0.35">
      <c r="A12" s="6" t="s">
        <v>67</v>
      </c>
      <c r="B12" s="5">
        <v>3041</v>
      </c>
      <c r="C12" s="7">
        <v>5352</v>
      </c>
      <c r="D12" s="7">
        <v>13380</v>
      </c>
      <c r="E12" s="18">
        <v>8.9999999999999993E-3</v>
      </c>
      <c r="F12" s="5">
        <v>546</v>
      </c>
      <c r="G12" s="7">
        <v>8</v>
      </c>
      <c r="H12" s="7">
        <v>0</v>
      </c>
      <c r="I12" s="7">
        <v>0</v>
      </c>
      <c r="J12" s="7">
        <v>8</v>
      </c>
      <c r="K12" s="7" t="s">
        <v>68</v>
      </c>
      <c r="L12" s="14" t="s">
        <v>136</v>
      </c>
      <c r="M12" s="15" t="s">
        <v>136</v>
      </c>
      <c r="N12" s="5">
        <v>9</v>
      </c>
      <c r="O12" s="5">
        <v>12</v>
      </c>
      <c r="P12" s="5">
        <v>0</v>
      </c>
      <c r="Q12" s="5">
        <v>0</v>
      </c>
      <c r="R12" s="21"/>
      <c r="S12" s="17"/>
      <c r="T12" s="21" t="s">
        <v>316</v>
      </c>
      <c r="U12" s="8" t="s">
        <v>403</v>
      </c>
    </row>
    <row r="13" spans="1:21" ht="60" customHeight="1" x14ac:dyDescent="0.35">
      <c r="A13" s="6" t="s">
        <v>69</v>
      </c>
      <c r="B13" s="5">
        <v>4345</v>
      </c>
      <c r="C13" s="7">
        <v>3057</v>
      </c>
      <c r="D13" s="7">
        <v>7642.5</v>
      </c>
      <c r="E13" s="18">
        <v>0</v>
      </c>
      <c r="F13" s="5">
        <v>1148</v>
      </c>
      <c r="G13" s="7">
        <v>10</v>
      </c>
      <c r="H13" s="7">
        <v>0</v>
      </c>
      <c r="I13" s="7">
        <v>0</v>
      </c>
      <c r="J13" s="7">
        <v>10</v>
      </c>
      <c r="K13" s="7" t="s">
        <v>70</v>
      </c>
      <c r="L13" s="7" t="s">
        <v>71</v>
      </c>
      <c r="M13" s="7" t="s">
        <v>72</v>
      </c>
      <c r="N13" s="5">
        <v>0</v>
      </c>
      <c r="O13" s="5">
        <v>4</v>
      </c>
      <c r="P13" s="5">
        <v>32</v>
      </c>
      <c r="Q13" s="5">
        <v>12</v>
      </c>
      <c r="R13" s="8"/>
      <c r="S13" s="8"/>
      <c r="T13" s="8"/>
      <c r="U13" s="8"/>
    </row>
    <row r="14" spans="1:21" ht="60" customHeight="1" x14ac:dyDescent="0.35">
      <c r="A14" s="6" t="s">
        <v>73</v>
      </c>
      <c r="B14" s="5">
        <v>422</v>
      </c>
      <c r="C14" s="7">
        <v>250</v>
      </c>
      <c r="D14" s="7">
        <v>625</v>
      </c>
      <c r="E14" s="18">
        <v>0.01</v>
      </c>
      <c r="F14" s="5">
        <v>61</v>
      </c>
      <c r="G14" s="7">
        <v>8</v>
      </c>
      <c r="H14" s="7">
        <v>2</v>
      </c>
      <c r="I14" s="7">
        <v>0</v>
      </c>
      <c r="J14" s="7">
        <v>6</v>
      </c>
      <c r="K14" s="7" t="s">
        <v>48</v>
      </c>
      <c r="L14" s="7" t="s">
        <v>74</v>
      </c>
      <c r="M14" s="7" t="s">
        <v>74</v>
      </c>
      <c r="N14" s="5">
        <v>6</v>
      </c>
      <c r="O14" s="5">
        <v>0</v>
      </c>
      <c r="P14" s="5">
        <v>0</v>
      </c>
      <c r="Q14" s="5">
        <v>0</v>
      </c>
      <c r="R14" s="8"/>
      <c r="S14" s="8"/>
      <c r="T14" s="8"/>
      <c r="U14" s="8"/>
    </row>
    <row r="15" spans="1:21" ht="60" customHeight="1" x14ac:dyDescent="0.35">
      <c r="A15" s="6" t="s">
        <v>75</v>
      </c>
      <c r="B15" s="5">
        <v>301</v>
      </c>
      <c r="C15" s="7">
        <v>300</v>
      </c>
      <c r="D15" s="7">
        <v>750</v>
      </c>
      <c r="E15" s="18">
        <v>1.4E-2</v>
      </c>
      <c r="F15" s="5">
        <v>59</v>
      </c>
      <c r="G15" s="7">
        <v>11</v>
      </c>
      <c r="H15" s="7">
        <v>0</v>
      </c>
      <c r="I15" s="7">
        <v>0</v>
      </c>
      <c r="J15" s="7">
        <v>11</v>
      </c>
      <c r="K15" s="7" t="s">
        <v>76</v>
      </c>
      <c r="L15" s="7" t="s">
        <v>77</v>
      </c>
      <c r="M15" s="7" t="s">
        <v>78</v>
      </c>
      <c r="N15" s="5">
        <v>4</v>
      </c>
      <c r="O15" s="5">
        <v>6</v>
      </c>
      <c r="P15" s="5">
        <v>1</v>
      </c>
      <c r="Q15" s="5">
        <v>11</v>
      </c>
      <c r="R15" s="21"/>
      <c r="S15" s="21" t="s">
        <v>313</v>
      </c>
      <c r="T15" s="8"/>
      <c r="U15" s="8" t="s">
        <v>406</v>
      </c>
    </row>
    <row r="16" spans="1:21" ht="60" customHeight="1" x14ac:dyDescent="0.35">
      <c r="A16" s="6" t="s">
        <v>79</v>
      </c>
      <c r="B16" s="5">
        <v>14998</v>
      </c>
      <c r="C16" s="7">
        <v>18664</v>
      </c>
      <c r="D16" s="7">
        <v>46660</v>
      </c>
      <c r="E16" s="18">
        <v>4.0000000000000001E-3</v>
      </c>
      <c r="F16" s="5">
        <v>4844</v>
      </c>
      <c r="G16" s="7">
        <v>10</v>
      </c>
      <c r="H16" s="7">
        <v>2</v>
      </c>
      <c r="I16" s="7">
        <v>0</v>
      </c>
      <c r="J16" s="7">
        <v>8</v>
      </c>
      <c r="K16" s="7" t="s">
        <v>135</v>
      </c>
      <c r="L16" s="7" t="s">
        <v>159</v>
      </c>
      <c r="M16" s="7" t="s">
        <v>160</v>
      </c>
      <c r="N16" s="5">
        <v>15</v>
      </c>
      <c r="O16" s="5">
        <v>8</v>
      </c>
      <c r="P16" s="5">
        <v>0</v>
      </c>
      <c r="Q16" s="5">
        <v>0</v>
      </c>
      <c r="R16" s="8"/>
      <c r="S16" s="17"/>
      <c r="T16" s="8"/>
      <c r="U16" s="8" t="s">
        <v>402</v>
      </c>
    </row>
    <row r="17" spans="1:21" ht="60" customHeight="1" x14ac:dyDescent="0.35">
      <c r="A17" s="6" t="s">
        <v>80</v>
      </c>
      <c r="B17" s="5">
        <v>7305</v>
      </c>
      <c r="C17" s="7">
        <v>4014</v>
      </c>
      <c r="D17" s="7">
        <v>10035</v>
      </c>
      <c r="E17" s="18">
        <v>1.2E-2</v>
      </c>
      <c r="F17" s="5">
        <v>1697</v>
      </c>
      <c r="G17" s="7">
        <v>13</v>
      </c>
      <c r="H17" s="7">
        <v>1</v>
      </c>
      <c r="I17" s="7">
        <v>0</v>
      </c>
      <c r="J17" s="7">
        <v>12</v>
      </c>
      <c r="K17" s="7" t="s">
        <v>81</v>
      </c>
      <c r="L17" s="14" t="s">
        <v>161</v>
      </c>
      <c r="M17" s="14" t="s">
        <v>161</v>
      </c>
      <c r="N17" s="5">
        <v>5</v>
      </c>
      <c r="O17" s="5">
        <v>14</v>
      </c>
      <c r="P17" s="5">
        <v>0</v>
      </c>
      <c r="Q17" s="5">
        <v>0</v>
      </c>
      <c r="R17" s="21" t="s">
        <v>315</v>
      </c>
      <c r="S17" s="21" t="s">
        <v>314</v>
      </c>
      <c r="T17" s="8"/>
      <c r="U17" s="8" t="s">
        <v>399</v>
      </c>
    </row>
    <row r="18" spans="1:21" ht="60" customHeight="1" x14ac:dyDescent="0.35">
      <c r="A18" s="6" t="s">
        <v>82</v>
      </c>
      <c r="B18" s="5">
        <v>9232</v>
      </c>
      <c r="C18" s="7">
        <v>9300</v>
      </c>
      <c r="D18" s="7">
        <v>23250</v>
      </c>
      <c r="E18" s="18">
        <v>7.0000000000000001E-3</v>
      </c>
      <c r="F18" s="5">
        <v>2356</v>
      </c>
      <c r="G18" s="7">
        <v>10</v>
      </c>
      <c r="H18" s="7">
        <v>0</v>
      </c>
      <c r="I18" s="7">
        <v>0</v>
      </c>
      <c r="J18" s="7">
        <v>10</v>
      </c>
      <c r="K18" s="7" t="s">
        <v>83</v>
      </c>
      <c r="L18" s="14" t="s">
        <v>84</v>
      </c>
      <c r="M18" s="14" t="s">
        <v>83</v>
      </c>
      <c r="N18" s="5">
        <v>0</v>
      </c>
      <c r="O18" s="5">
        <v>0</v>
      </c>
      <c r="P18" s="5">
        <v>74</v>
      </c>
      <c r="Q18" s="5">
        <v>118</v>
      </c>
      <c r="R18" s="21"/>
      <c r="S18" s="8"/>
      <c r="T18" s="8"/>
      <c r="U18" s="8" t="s">
        <v>400</v>
      </c>
    </row>
    <row r="19" spans="1:21" ht="60" customHeight="1" x14ac:dyDescent="0.35">
      <c r="A19" s="6" t="s">
        <v>85</v>
      </c>
      <c r="B19" s="5">
        <v>499</v>
      </c>
      <c r="C19" s="7">
        <v>517</v>
      </c>
      <c r="D19" s="7">
        <v>1292.5</v>
      </c>
      <c r="E19" s="19">
        <v>0</v>
      </c>
      <c r="F19" s="5">
        <v>13</v>
      </c>
      <c r="G19" s="7">
        <v>8</v>
      </c>
      <c r="H19" s="7">
        <v>0</v>
      </c>
      <c r="I19" s="7">
        <v>0</v>
      </c>
      <c r="J19" s="7">
        <v>8</v>
      </c>
      <c r="K19" s="7" t="s">
        <v>49</v>
      </c>
      <c r="L19" s="7" t="s">
        <v>49</v>
      </c>
      <c r="M19" s="7" t="s">
        <v>49</v>
      </c>
      <c r="N19" s="5">
        <v>0</v>
      </c>
      <c r="O19" s="5">
        <v>4</v>
      </c>
      <c r="P19" s="5">
        <v>28</v>
      </c>
      <c r="Q19" s="5">
        <v>15</v>
      </c>
      <c r="R19" s="21"/>
      <c r="S19" s="8"/>
      <c r="T19" s="17"/>
      <c r="U19" s="8"/>
    </row>
    <row r="20" spans="1:21" ht="60" customHeight="1" x14ac:dyDescent="0.35">
      <c r="A20" s="6" t="s">
        <v>86</v>
      </c>
      <c r="B20" s="5">
        <v>309</v>
      </c>
      <c r="C20" s="7">
        <v>215</v>
      </c>
      <c r="D20" s="7">
        <v>537.5</v>
      </c>
      <c r="E20" s="18">
        <v>1.2999999999999999E-2</v>
      </c>
      <c r="F20" s="5">
        <v>125</v>
      </c>
      <c r="G20" s="7">
        <v>8</v>
      </c>
      <c r="H20" s="7">
        <v>2</v>
      </c>
      <c r="I20" s="7">
        <v>0</v>
      </c>
      <c r="J20" s="7">
        <v>6</v>
      </c>
      <c r="K20" s="7" t="s">
        <v>87</v>
      </c>
      <c r="L20" s="7" t="s">
        <v>87</v>
      </c>
      <c r="M20" s="7" t="s">
        <v>88</v>
      </c>
      <c r="N20" s="5">
        <v>0</v>
      </c>
      <c r="O20" s="5">
        <v>0</v>
      </c>
      <c r="P20" s="5">
        <v>0</v>
      </c>
      <c r="Q20" s="5">
        <v>0</v>
      </c>
      <c r="R20" s="8"/>
      <c r="S20" s="8"/>
      <c r="T20" s="8"/>
      <c r="U20" s="8"/>
    </row>
    <row r="21" spans="1:21" ht="60" customHeight="1" x14ac:dyDescent="0.35">
      <c r="A21" s="6" t="s">
        <v>89</v>
      </c>
      <c r="B21" s="5">
        <v>22893</v>
      </c>
      <c r="C21" s="7">
        <v>31516</v>
      </c>
      <c r="D21" s="7">
        <v>78790</v>
      </c>
      <c r="E21" s="18">
        <v>1.9E-2</v>
      </c>
      <c r="F21" s="5">
        <v>10046</v>
      </c>
      <c r="G21" s="7">
        <v>12</v>
      </c>
      <c r="H21" s="7">
        <v>0</v>
      </c>
      <c r="I21" s="7">
        <v>0</v>
      </c>
      <c r="J21" s="7">
        <v>12</v>
      </c>
      <c r="K21" s="7" t="s">
        <v>90</v>
      </c>
      <c r="L21" s="7" t="s">
        <v>90</v>
      </c>
      <c r="M21" s="16" t="s">
        <v>162</v>
      </c>
      <c r="N21" s="5">
        <v>0</v>
      </c>
      <c r="O21" s="5">
        <v>9</v>
      </c>
      <c r="P21" s="5">
        <v>48</v>
      </c>
      <c r="Q21" s="5">
        <v>6</v>
      </c>
      <c r="R21" s="8"/>
      <c r="S21" s="8"/>
      <c r="T21" s="21"/>
      <c r="U21" s="21" t="s">
        <v>397</v>
      </c>
    </row>
  </sheetData>
  <mergeCells count="1">
    <mergeCell ref="A1:U1"/>
  </mergeCell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41721-73B8-4FE7-BDF8-A1FE6749B280}">
  <dimension ref="A3:K18"/>
  <sheetViews>
    <sheetView workbookViewId="0">
      <selection activeCell="L5" sqref="L5"/>
    </sheetView>
  </sheetViews>
  <sheetFormatPr defaultColWidth="10.90625" defaultRowHeight="14.5" x14ac:dyDescent="0.35"/>
  <cols>
    <col min="1" max="1" width="32.36328125" bestFit="1" customWidth="1"/>
    <col min="2" max="2" width="15.26953125" bestFit="1" customWidth="1"/>
    <col min="3" max="3" width="11.26953125" bestFit="1" customWidth="1"/>
    <col min="4" max="4" width="8.36328125" bestFit="1" customWidth="1"/>
    <col min="5" max="5" width="3.36328125" bestFit="1" customWidth="1"/>
    <col min="6" max="6" width="13.08984375" bestFit="1" customWidth="1"/>
    <col min="7" max="7" width="10.6328125" bestFit="1" customWidth="1"/>
    <col min="8" max="8" width="20" bestFit="1" customWidth="1"/>
    <col min="9" max="9" width="3.08984375" bestFit="1" customWidth="1"/>
    <col min="10" max="10" width="6.7265625" bestFit="1" customWidth="1"/>
    <col min="11" max="11" width="10.7265625" bestFit="1" customWidth="1"/>
  </cols>
  <sheetData>
    <row r="3" spans="1:11" x14ac:dyDescent="0.35">
      <c r="A3" s="29" t="s">
        <v>306</v>
      </c>
      <c r="B3" s="29" t="s">
        <v>407</v>
      </c>
    </row>
    <row r="4" spans="1:11" x14ac:dyDescent="0.35">
      <c r="A4" s="29" t="s">
        <v>408</v>
      </c>
      <c r="B4" t="s">
        <v>131</v>
      </c>
      <c r="C4" t="s">
        <v>132</v>
      </c>
      <c r="D4" t="s">
        <v>133</v>
      </c>
      <c r="E4" t="s">
        <v>303</v>
      </c>
      <c r="F4" t="s">
        <v>134</v>
      </c>
      <c r="G4" t="s">
        <v>281</v>
      </c>
      <c r="H4" t="s">
        <v>138</v>
      </c>
      <c r="I4" t="s">
        <v>396</v>
      </c>
      <c r="J4" t="s">
        <v>409</v>
      </c>
      <c r="K4" t="s">
        <v>410</v>
      </c>
    </row>
    <row r="5" spans="1:11" x14ac:dyDescent="0.35">
      <c r="A5" s="30" t="s">
        <v>62</v>
      </c>
      <c r="B5" s="50">
        <v>8</v>
      </c>
      <c r="C5" s="50">
        <v>32</v>
      </c>
      <c r="D5" s="50">
        <v>20</v>
      </c>
      <c r="E5" s="50"/>
      <c r="F5" s="50">
        <v>30</v>
      </c>
      <c r="G5" s="50"/>
      <c r="H5" s="50">
        <v>3</v>
      </c>
      <c r="I5" s="50"/>
      <c r="J5" s="50"/>
      <c r="K5" s="50">
        <v>93</v>
      </c>
    </row>
    <row r="6" spans="1:11" x14ac:dyDescent="0.35">
      <c r="A6" s="30" t="s">
        <v>82</v>
      </c>
      <c r="B6" s="50">
        <v>8</v>
      </c>
      <c r="C6" s="50">
        <v>8</v>
      </c>
      <c r="D6" s="50">
        <v>28</v>
      </c>
      <c r="E6" s="50"/>
      <c r="F6" s="50">
        <v>27</v>
      </c>
      <c r="G6" s="50"/>
      <c r="H6" s="50"/>
      <c r="I6" s="50"/>
      <c r="J6" s="50"/>
      <c r="K6" s="50">
        <v>71</v>
      </c>
    </row>
    <row r="7" spans="1:11" x14ac:dyDescent="0.35">
      <c r="A7" s="30" t="s">
        <v>61</v>
      </c>
      <c r="B7" s="50"/>
      <c r="C7" s="50"/>
      <c r="D7" s="50">
        <v>20</v>
      </c>
      <c r="E7" s="50"/>
      <c r="F7" s="50">
        <v>41</v>
      </c>
      <c r="G7" s="50">
        <v>3</v>
      </c>
      <c r="H7" s="50">
        <v>4</v>
      </c>
      <c r="I7" s="50"/>
      <c r="J7" s="50"/>
      <c r="K7" s="50">
        <v>68</v>
      </c>
    </row>
    <row r="8" spans="1:11" x14ac:dyDescent="0.35">
      <c r="A8" s="30" t="s">
        <v>58</v>
      </c>
      <c r="B8" s="50">
        <v>2</v>
      </c>
      <c r="C8" s="50">
        <v>2</v>
      </c>
      <c r="D8" s="50">
        <v>2</v>
      </c>
      <c r="E8" s="50"/>
      <c r="F8" s="50"/>
      <c r="G8" s="50"/>
      <c r="H8" s="50">
        <v>4</v>
      </c>
      <c r="I8" s="50">
        <v>40</v>
      </c>
      <c r="J8" s="50"/>
      <c r="K8" s="50">
        <v>50</v>
      </c>
    </row>
    <row r="9" spans="1:11" x14ac:dyDescent="0.35">
      <c r="A9" s="30" t="s">
        <v>89</v>
      </c>
      <c r="B9" s="50">
        <v>4</v>
      </c>
      <c r="C9" s="50">
        <v>5</v>
      </c>
      <c r="D9" s="50">
        <v>5</v>
      </c>
      <c r="E9" s="50"/>
      <c r="F9" s="50"/>
      <c r="G9" s="50">
        <v>1</v>
      </c>
      <c r="H9" s="50">
        <v>8</v>
      </c>
      <c r="I9" s="50"/>
      <c r="J9" s="50"/>
      <c r="K9" s="50">
        <v>23</v>
      </c>
    </row>
    <row r="10" spans="1:11" x14ac:dyDescent="0.35">
      <c r="A10" s="30" t="s">
        <v>75</v>
      </c>
      <c r="B10" s="50"/>
      <c r="C10" s="50"/>
      <c r="D10" s="50">
        <v>3</v>
      </c>
      <c r="E10" s="50"/>
      <c r="F10" s="50">
        <v>4</v>
      </c>
      <c r="G10" s="50">
        <v>4</v>
      </c>
      <c r="H10" s="50">
        <v>4</v>
      </c>
      <c r="I10" s="50"/>
      <c r="J10" s="50"/>
      <c r="K10" s="50">
        <v>15</v>
      </c>
    </row>
    <row r="11" spans="1:11" x14ac:dyDescent="0.35">
      <c r="A11" s="30" t="s">
        <v>79</v>
      </c>
      <c r="B11" s="50"/>
      <c r="C11" s="50"/>
      <c r="D11" s="50"/>
      <c r="E11" s="50"/>
      <c r="F11" s="50"/>
      <c r="G11" s="50"/>
      <c r="H11" s="50">
        <v>8</v>
      </c>
      <c r="I11" s="50"/>
      <c r="J11" s="50"/>
      <c r="K11" s="50">
        <v>8</v>
      </c>
    </row>
    <row r="12" spans="1:11" x14ac:dyDescent="0.35">
      <c r="A12" s="30" t="s">
        <v>67</v>
      </c>
      <c r="B12" s="50"/>
      <c r="C12" s="50"/>
      <c r="D12" s="50"/>
      <c r="E12" s="50"/>
      <c r="F12" s="50"/>
      <c r="G12" s="50">
        <v>3</v>
      </c>
      <c r="H12" s="50">
        <v>3</v>
      </c>
      <c r="I12" s="50">
        <v>2</v>
      </c>
      <c r="J12" s="50"/>
      <c r="K12" s="50">
        <v>8</v>
      </c>
    </row>
    <row r="13" spans="1:11" x14ac:dyDescent="0.35">
      <c r="A13" s="30" t="s">
        <v>69</v>
      </c>
      <c r="B13" s="50"/>
      <c r="C13" s="50"/>
      <c r="D13" s="50">
        <v>1</v>
      </c>
      <c r="E13" s="50"/>
      <c r="F13" s="50"/>
      <c r="G13" s="50"/>
      <c r="H13" s="50">
        <v>1</v>
      </c>
      <c r="I13" s="50"/>
      <c r="J13" s="50"/>
      <c r="K13" s="50">
        <v>2</v>
      </c>
    </row>
    <row r="14" spans="1:11" x14ac:dyDescent="0.35">
      <c r="A14" s="30" t="s">
        <v>73</v>
      </c>
      <c r="B14" s="50"/>
      <c r="C14" s="50"/>
      <c r="D14" s="50"/>
      <c r="E14" s="50">
        <v>1</v>
      </c>
      <c r="F14" s="50"/>
      <c r="G14" s="50"/>
      <c r="H14" s="50"/>
      <c r="I14" s="50">
        <v>1</v>
      </c>
      <c r="J14" s="50"/>
      <c r="K14" s="50">
        <v>2</v>
      </c>
    </row>
    <row r="15" spans="1:11" x14ac:dyDescent="0.35">
      <c r="A15" s="30" t="s">
        <v>85</v>
      </c>
      <c r="B15" s="50"/>
      <c r="C15" s="50"/>
      <c r="D15" s="50">
        <v>1</v>
      </c>
      <c r="E15" s="50"/>
      <c r="F15" s="50"/>
      <c r="G15" s="50">
        <v>1</v>
      </c>
      <c r="H15" s="50"/>
      <c r="I15" s="50"/>
      <c r="J15" s="50"/>
      <c r="K15" s="50">
        <v>2</v>
      </c>
    </row>
    <row r="16" spans="1:11" x14ac:dyDescent="0.35">
      <c r="A16" s="30" t="s">
        <v>46</v>
      </c>
      <c r="B16" s="50"/>
      <c r="C16" s="50"/>
      <c r="D16" s="50"/>
      <c r="E16" s="50"/>
      <c r="F16" s="50"/>
      <c r="G16" s="50">
        <v>1</v>
      </c>
      <c r="H16" s="50">
        <v>1</v>
      </c>
      <c r="I16" s="50"/>
      <c r="J16" s="50"/>
      <c r="K16" s="50">
        <v>2</v>
      </c>
    </row>
    <row r="17" spans="1:11" x14ac:dyDescent="0.35">
      <c r="A17" s="30" t="s">
        <v>409</v>
      </c>
      <c r="B17" s="50"/>
      <c r="C17" s="50"/>
      <c r="D17" s="50"/>
      <c r="E17" s="50"/>
      <c r="F17" s="50"/>
      <c r="G17" s="50"/>
      <c r="H17" s="50"/>
      <c r="I17" s="50"/>
      <c r="J17" s="50"/>
      <c r="K17" s="50"/>
    </row>
    <row r="18" spans="1:11" x14ac:dyDescent="0.35">
      <c r="A18" s="30" t="s">
        <v>410</v>
      </c>
      <c r="B18" s="50">
        <v>22</v>
      </c>
      <c r="C18" s="50">
        <v>47</v>
      </c>
      <c r="D18" s="50">
        <v>80</v>
      </c>
      <c r="E18" s="50">
        <v>1</v>
      </c>
      <c r="F18" s="50">
        <v>102</v>
      </c>
      <c r="G18" s="50">
        <v>13</v>
      </c>
      <c r="H18" s="50">
        <v>36</v>
      </c>
      <c r="I18" s="50">
        <v>43</v>
      </c>
      <c r="J18" s="50"/>
      <c r="K18" s="50">
        <v>344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17"/>
  <sheetViews>
    <sheetView showGridLines="0" zoomScale="80" zoomScaleNormal="80" workbookViewId="0">
      <pane ySplit="2" topLeftCell="A176" activePane="bottomLeft" state="frozen"/>
      <selection pane="bottomLeft" activeCell="E195" sqref="E195"/>
    </sheetView>
  </sheetViews>
  <sheetFormatPr defaultColWidth="9.1796875" defaultRowHeight="14.5" x14ac:dyDescent="0.35"/>
  <cols>
    <col min="1" max="1" width="35" style="39" customWidth="1"/>
    <col min="2" max="2" width="48.26953125" style="39" bestFit="1" customWidth="1"/>
    <col min="3" max="3" width="60" style="47" customWidth="1"/>
    <col min="4" max="4" width="40" style="39" customWidth="1"/>
    <col min="5" max="16384" width="9.1796875" style="39"/>
  </cols>
  <sheetData>
    <row r="1" spans="1:4" ht="28" customHeight="1" x14ac:dyDescent="0.35">
      <c r="A1" s="37" t="s">
        <v>91</v>
      </c>
      <c r="B1" s="38"/>
      <c r="C1" s="38"/>
      <c r="D1" s="38"/>
    </row>
    <row r="2" spans="1:4" x14ac:dyDescent="0.35">
      <c r="A2" s="40" t="s">
        <v>25</v>
      </c>
      <c r="B2" s="40" t="s">
        <v>92</v>
      </c>
      <c r="C2" s="44" t="s">
        <v>93</v>
      </c>
      <c r="D2" s="40" t="s">
        <v>94</v>
      </c>
    </row>
    <row r="3" spans="1:4" ht="28" customHeight="1" x14ac:dyDescent="0.35">
      <c r="A3" s="41" t="s">
        <v>61</v>
      </c>
      <c r="B3" s="41" t="s">
        <v>163</v>
      </c>
      <c r="C3" s="45" t="s">
        <v>134</v>
      </c>
      <c r="D3" s="41"/>
    </row>
    <row r="4" spans="1:4" ht="28" customHeight="1" x14ac:dyDescent="0.35">
      <c r="A4" s="41" t="s">
        <v>61</v>
      </c>
      <c r="B4" s="41" t="s">
        <v>164</v>
      </c>
      <c r="C4" s="45" t="s">
        <v>133</v>
      </c>
      <c r="D4" s="41"/>
    </row>
    <row r="5" spans="1:4" ht="28" customHeight="1" x14ac:dyDescent="0.35">
      <c r="A5" s="41" t="s">
        <v>61</v>
      </c>
      <c r="B5" s="41" t="s">
        <v>164</v>
      </c>
      <c r="C5" s="45" t="s">
        <v>134</v>
      </c>
      <c r="D5" s="41"/>
    </row>
    <row r="6" spans="1:4" ht="28" customHeight="1" x14ac:dyDescent="0.35">
      <c r="A6" s="41" t="s">
        <v>61</v>
      </c>
      <c r="B6" s="41" t="s">
        <v>165</v>
      </c>
      <c r="C6" s="45" t="s">
        <v>133</v>
      </c>
      <c r="D6" s="41"/>
    </row>
    <row r="7" spans="1:4" ht="28" customHeight="1" x14ac:dyDescent="0.35">
      <c r="A7" s="41" t="s">
        <v>61</v>
      </c>
      <c r="B7" s="41" t="s">
        <v>165</v>
      </c>
      <c r="C7" s="45" t="s">
        <v>134</v>
      </c>
      <c r="D7" s="41"/>
    </row>
    <row r="8" spans="1:4" ht="28" customHeight="1" x14ac:dyDescent="0.35">
      <c r="A8" s="41" t="s">
        <v>61</v>
      </c>
      <c r="B8" s="41" t="s">
        <v>166</v>
      </c>
      <c r="C8" s="45" t="s">
        <v>133</v>
      </c>
      <c r="D8" s="41"/>
    </row>
    <row r="9" spans="1:4" ht="28" customHeight="1" x14ac:dyDescent="0.35">
      <c r="A9" s="41" t="s">
        <v>61</v>
      </c>
      <c r="B9" s="41" t="s">
        <v>166</v>
      </c>
      <c r="C9" s="45" t="s">
        <v>134</v>
      </c>
      <c r="D9" s="41"/>
    </row>
    <row r="10" spans="1:4" ht="28" customHeight="1" x14ac:dyDescent="0.35">
      <c r="A10" s="41" t="s">
        <v>61</v>
      </c>
      <c r="B10" s="41" t="s">
        <v>167</v>
      </c>
      <c r="C10" s="45" t="s">
        <v>134</v>
      </c>
      <c r="D10" s="41"/>
    </row>
    <row r="11" spans="1:4" ht="28" customHeight="1" x14ac:dyDescent="0.35">
      <c r="A11" s="41" t="s">
        <v>61</v>
      </c>
      <c r="B11" s="41" t="s">
        <v>168</v>
      </c>
      <c r="C11" s="45" t="s">
        <v>133</v>
      </c>
      <c r="D11" s="41"/>
    </row>
    <row r="12" spans="1:4" ht="28" customHeight="1" x14ac:dyDescent="0.35">
      <c r="A12" s="41" t="s">
        <v>61</v>
      </c>
      <c r="B12" s="41" t="s">
        <v>168</v>
      </c>
      <c r="C12" s="45" t="s">
        <v>134</v>
      </c>
      <c r="D12" s="41"/>
    </row>
    <row r="13" spans="1:4" ht="28" customHeight="1" x14ac:dyDescent="0.35">
      <c r="A13" s="41" t="s">
        <v>61</v>
      </c>
      <c r="B13" s="41" t="s">
        <v>169</v>
      </c>
      <c r="C13" s="45" t="s">
        <v>134</v>
      </c>
      <c r="D13" s="41"/>
    </row>
    <row r="14" spans="1:4" ht="28" customHeight="1" x14ac:dyDescent="0.35">
      <c r="A14" s="41" t="s">
        <v>61</v>
      </c>
      <c r="B14" s="41" t="s">
        <v>170</v>
      </c>
      <c r="C14" s="45" t="s">
        <v>133</v>
      </c>
      <c r="D14" s="41"/>
    </row>
    <row r="15" spans="1:4" ht="28" customHeight="1" x14ac:dyDescent="0.35">
      <c r="A15" s="41" t="s">
        <v>61</v>
      </c>
      <c r="B15" s="41" t="s">
        <v>170</v>
      </c>
      <c r="C15" s="45" t="s">
        <v>134</v>
      </c>
      <c r="D15" s="41"/>
    </row>
    <row r="16" spans="1:4" ht="28" customHeight="1" x14ac:dyDescent="0.35">
      <c r="A16" s="41" t="s">
        <v>61</v>
      </c>
      <c r="B16" s="41" t="s">
        <v>171</v>
      </c>
      <c r="C16" s="45" t="s">
        <v>133</v>
      </c>
      <c r="D16" s="41"/>
    </row>
    <row r="17" spans="1:4" ht="28" customHeight="1" x14ac:dyDescent="0.35">
      <c r="A17" s="41" t="s">
        <v>61</v>
      </c>
      <c r="B17" s="41" t="s">
        <v>171</v>
      </c>
      <c r="C17" s="45" t="s">
        <v>134</v>
      </c>
      <c r="D17" s="41"/>
    </row>
    <row r="18" spans="1:4" ht="28" customHeight="1" x14ac:dyDescent="0.35">
      <c r="A18" s="41" t="s">
        <v>61</v>
      </c>
      <c r="B18" s="41" t="s">
        <v>172</v>
      </c>
      <c r="C18" s="45" t="s">
        <v>133</v>
      </c>
      <c r="D18" s="41"/>
    </row>
    <row r="19" spans="1:4" ht="28" customHeight="1" x14ac:dyDescent="0.35">
      <c r="A19" s="41" t="s">
        <v>61</v>
      </c>
      <c r="B19" s="41" t="s">
        <v>172</v>
      </c>
      <c r="C19" s="45" t="s">
        <v>134</v>
      </c>
      <c r="D19" s="41"/>
    </row>
    <row r="20" spans="1:4" ht="28" customHeight="1" x14ac:dyDescent="0.35">
      <c r="A20" s="41" t="s">
        <v>61</v>
      </c>
      <c r="B20" s="41" t="s">
        <v>173</v>
      </c>
      <c r="C20" s="45" t="s">
        <v>134</v>
      </c>
      <c r="D20" s="41"/>
    </row>
    <row r="21" spans="1:4" ht="28" customHeight="1" x14ac:dyDescent="0.35">
      <c r="A21" s="41" t="s">
        <v>61</v>
      </c>
      <c r="B21" s="41" t="s">
        <v>174</v>
      </c>
      <c r="C21" s="45" t="s">
        <v>133</v>
      </c>
      <c r="D21" s="41"/>
    </row>
    <row r="22" spans="1:4" ht="28" customHeight="1" x14ac:dyDescent="0.35">
      <c r="A22" s="41" t="s">
        <v>61</v>
      </c>
      <c r="B22" s="41" t="s">
        <v>174</v>
      </c>
      <c r="C22" s="45" t="s">
        <v>134</v>
      </c>
      <c r="D22" s="41"/>
    </row>
    <row r="23" spans="1:4" ht="28" customHeight="1" x14ac:dyDescent="0.35">
      <c r="A23" s="41" t="s">
        <v>61</v>
      </c>
      <c r="B23" s="41" t="s">
        <v>175</v>
      </c>
      <c r="C23" s="45" t="s">
        <v>134</v>
      </c>
      <c r="D23" s="41"/>
    </row>
    <row r="24" spans="1:4" ht="28" customHeight="1" x14ac:dyDescent="0.35">
      <c r="A24" s="41" t="s">
        <v>61</v>
      </c>
      <c r="B24" s="41" t="s">
        <v>176</v>
      </c>
      <c r="C24" s="45" t="s">
        <v>133</v>
      </c>
      <c r="D24" s="41"/>
    </row>
    <row r="25" spans="1:4" ht="28" customHeight="1" x14ac:dyDescent="0.35">
      <c r="A25" s="41" t="s">
        <v>61</v>
      </c>
      <c r="B25" s="41" t="s">
        <v>176</v>
      </c>
      <c r="C25" s="45" t="s">
        <v>134</v>
      </c>
      <c r="D25" s="41"/>
    </row>
    <row r="26" spans="1:4" ht="28" customHeight="1" x14ac:dyDescent="0.35">
      <c r="A26" s="41" t="s">
        <v>61</v>
      </c>
      <c r="B26" s="41" t="s">
        <v>177</v>
      </c>
      <c r="C26" s="45" t="s">
        <v>133</v>
      </c>
      <c r="D26" s="41"/>
    </row>
    <row r="27" spans="1:4" ht="28" customHeight="1" x14ac:dyDescent="0.35">
      <c r="A27" s="41" t="s">
        <v>61</v>
      </c>
      <c r="B27" s="41" t="s">
        <v>177</v>
      </c>
      <c r="C27" s="45" t="s">
        <v>134</v>
      </c>
      <c r="D27" s="41"/>
    </row>
    <row r="28" spans="1:4" ht="28" customHeight="1" x14ac:dyDescent="0.35">
      <c r="A28" s="41" t="s">
        <v>61</v>
      </c>
      <c r="B28" s="41" t="s">
        <v>178</v>
      </c>
      <c r="C28" s="45" t="s">
        <v>134</v>
      </c>
      <c r="D28" s="41"/>
    </row>
    <row r="29" spans="1:4" ht="28" customHeight="1" x14ac:dyDescent="0.35">
      <c r="A29" s="41" t="s">
        <v>61</v>
      </c>
      <c r="B29" s="41" t="s">
        <v>179</v>
      </c>
      <c r="C29" s="45" t="s">
        <v>133</v>
      </c>
      <c r="D29" s="41"/>
    </row>
    <row r="30" spans="1:4" ht="28" customHeight="1" x14ac:dyDescent="0.35">
      <c r="A30" s="41" t="s">
        <v>61</v>
      </c>
      <c r="B30" s="41" t="s">
        <v>179</v>
      </c>
      <c r="C30" s="45" t="s">
        <v>134</v>
      </c>
      <c r="D30" s="41"/>
    </row>
    <row r="31" spans="1:4" ht="28" customHeight="1" x14ac:dyDescent="0.35">
      <c r="A31" s="41" t="s">
        <v>61</v>
      </c>
      <c r="B31" s="41" t="s">
        <v>180</v>
      </c>
      <c r="C31" s="45" t="s">
        <v>133</v>
      </c>
      <c r="D31" s="41"/>
    </row>
    <row r="32" spans="1:4" ht="28" customHeight="1" x14ac:dyDescent="0.35">
      <c r="A32" s="41" t="s">
        <v>61</v>
      </c>
      <c r="B32" s="41" t="s">
        <v>180</v>
      </c>
      <c r="C32" s="45" t="s">
        <v>134</v>
      </c>
      <c r="D32" s="41"/>
    </row>
    <row r="33" spans="1:4" ht="28" customHeight="1" x14ac:dyDescent="0.35">
      <c r="A33" s="41" t="s">
        <v>61</v>
      </c>
      <c r="B33" s="41" t="s">
        <v>181</v>
      </c>
      <c r="C33" s="45" t="s">
        <v>133</v>
      </c>
      <c r="D33" s="41"/>
    </row>
    <row r="34" spans="1:4" ht="28" customHeight="1" x14ac:dyDescent="0.35">
      <c r="A34" s="41" t="s">
        <v>61</v>
      </c>
      <c r="B34" s="41" t="s">
        <v>181</v>
      </c>
      <c r="C34" s="45" t="s">
        <v>134</v>
      </c>
      <c r="D34" s="41"/>
    </row>
    <row r="35" spans="1:4" ht="28" customHeight="1" x14ac:dyDescent="0.35">
      <c r="A35" s="41" t="s">
        <v>61</v>
      </c>
      <c r="B35" s="41" t="s">
        <v>182</v>
      </c>
      <c r="C35" s="45" t="s">
        <v>134</v>
      </c>
      <c r="D35" s="41"/>
    </row>
    <row r="36" spans="1:4" ht="28" customHeight="1" x14ac:dyDescent="0.35">
      <c r="A36" s="41" t="s">
        <v>61</v>
      </c>
      <c r="B36" s="41" t="s">
        <v>183</v>
      </c>
      <c r="C36" s="45" t="s">
        <v>134</v>
      </c>
      <c r="D36" s="41"/>
    </row>
    <row r="37" spans="1:4" ht="28" customHeight="1" x14ac:dyDescent="0.35">
      <c r="A37" s="41" t="s">
        <v>61</v>
      </c>
      <c r="B37" s="41" t="s">
        <v>184</v>
      </c>
      <c r="C37" s="45" t="s">
        <v>134</v>
      </c>
      <c r="D37" s="41"/>
    </row>
    <row r="38" spans="1:4" ht="28" customHeight="1" x14ac:dyDescent="0.35">
      <c r="A38" s="41" t="s">
        <v>61</v>
      </c>
      <c r="B38" s="41" t="s">
        <v>185</v>
      </c>
      <c r="C38" s="45" t="s">
        <v>134</v>
      </c>
      <c r="D38" s="41"/>
    </row>
    <row r="39" spans="1:4" ht="28" customHeight="1" x14ac:dyDescent="0.35">
      <c r="A39" s="41" t="s">
        <v>61</v>
      </c>
      <c r="B39" s="41" t="s">
        <v>186</v>
      </c>
      <c r="C39" s="45" t="s">
        <v>134</v>
      </c>
      <c r="D39" s="41"/>
    </row>
    <row r="40" spans="1:4" ht="28" customHeight="1" x14ac:dyDescent="0.35">
      <c r="A40" s="41" t="s">
        <v>61</v>
      </c>
      <c r="B40" s="41" t="s">
        <v>187</v>
      </c>
      <c r="C40" s="45" t="s">
        <v>134</v>
      </c>
      <c r="D40" s="41"/>
    </row>
    <row r="41" spans="1:4" ht="28" customHeight="1" x14ac:dyDescent="0.35">
      <c r="A41" s="41" t="s">
        <v>61</v>
      </c>
      <c r="B41" s="41" t="s">
        <v>188</v>
      </c>
      <c r="C41" s="45" t="s">
        <v>134</v>
      </c>
      <c r="D41" s="41"/>
    </row>
    <row r="42" spans="1:4" ht="28" customHeight="1" x14ac:dyDescent="0.35">
      <c r="A42" s="41" t="s">
        <v>61</v>
      </c>
      <c r="B42" s="41" t="s">
        <v>189</v>
      </c>
      <c r="C42" s="45" t="s">
        <v>134</v>
      </c>
      <c r="D42" s="41"/>
    </row>
    <row r="43" spans="1:4" ht="28" customHeight="1" x14ac:dyDescent="0.35">
      <c r="A43" s="41" t="s">
        <v>61</v>
      </c>
      <c r="B43" s="41" t="s">
        <v>190</v>
      </c>
      <c r="C43" s="45" t="s">
        <v>134</v>
      </c>
      <c r="D43" s="41"/>
    </row>
    <row r="44" spans="1:4" ht="28" customHeight="1" x14ac:dyDescent="0.35">
      <c r="A44" s="41" t="s">
        <v>61</v>
      </c>
      <c r="B44" s="41" t="s">
        <v>191</v>
      </c>
      <c r="C44" s="45" t="s">
        <v>134</v>
      </c>
      <c r="D44" s="41"/>
    </row>
    <row r="45" spans="1:4" ht="28" customHeight="1" x14ac:dyDescent="0.35">
      <c r="A45" s="41" t="s">
        <v>61</v>
      </c>
      <c r="B45" s="41" t="s">
        <v>192</v>
      </c>
      <c r="C45" s="45" t="s">
        <v>134</v>
      </c>
      <c r="D45" s="41"/>
    </row>
    <row r="46" spans="1:4" ht="28" customHeight="1" x14ac:dyDescent="0.35">
      <c r="A46" s="41" t="s">
        <v>61</v>
      </c>
      <c r="B46" s="41" t="s">
        <v>193</v>
      </c>
      <c r="C46" s="45" t="s">
        <v>134</v>
      </c>
      <c r="D46" s="41"/>
    </row>
    <row r="47" spans="1:4" ht="28" customHeight="1" x14ac:dyDescent="0.35">
      <c r="A47" s="41" t="s">
        <v>61</v>
      </c>
      <c r="B47" s="41" t="s">
        <v>194</v>
      </c>
      <c r="C47" s="45" t="s">
        <v>134</v>
      </c>
      <c r="D47" s="41"/>
    </row>
    <row r="48" spans="1:4" ht="28" customHeight="1" x14ac:dyDescent="0.35">
      <c r="A48" s="41" t="s">
        <v>61</v>
      </c>
      <c r="B48" s="41" t="s">
        <v>195</v>
      </c>
      <c r="C48" s="45" t="s">
        <v>133</v>
      </c>
      <c r="D48" s="41"/>
    </row>
    <row r="49" spans="1:4" ht="28" customHeight="1" x14ac:dyDescent="0.35">
      <c r="A49" s="41" t="s">
        <v>61</v>
      </c>
      <c r="B49" s="41" t="s">
        <v>195</v>
      </c>
      <c r="C49" s="45" t="s">
        <v>134</v>
      </c>
      <c r="D49" s="41"/>
    </row>
    <row r="50" spans="1:4" ht="28" customHeight="1" x14ac:dyDescent="0.35">
      <c r="A50" s="41" t="s">
        <v>61</v>
      </c>
      <c r="B50" s="41" t="s">
        <v>196</v>
      </c>
      <c r="C50" s="45" t="s">
        <v>134</v>
      </c>
      <c r="D50" s="41"/>
    </row>
    <row r="51" spans="1:4" ht="28" customHeight="1" x14ac:dyDescent="0.35">
      <c r="A51" s="41" t="s">
        <v>61</v>
      </c>
      <c r="B51" s="41" t="s">
        <v>197</v>
      </c>
      <c r="C51" s="45" t="s">
        <v>133</v>
      </c>
      <c r="D51" s="41"/>
    </row>
    <row r="52" spans="1:4" ht="28" customHeight="1" x14ac:dyDescent="0.35">
      <c r="A52" s="41" t="s">
        <v>61</v>
      </c>
      <c r="B52" s="41" t="s">
        <v>197</v>
      </c>
      <c r="C52" s="45" t="s">
        <v>134</v>
      </c>
      <c r="D52" s="41"/>
    </row>
    <row r="53" spans="1:4" ht="28" customHeight="1" x14ac:dyDescent="0.35">
      <c r="A53" s="41" t="s">
        <v>61</v>
      </c>
      <c r="B53" s="41" t="s">
        <v>198</v>
      </c>
      <c r="C53" s="45" t="s">
        <v>134</v>
      </c>
      <c r="D53" s="41"/>
    </row>
    <row r="54" spans="1:4" ht="28" customHeight="1" x14ac:dyDescent="0.35">
      <c r="A54" s="41" t="s">
        <v>61</v>
      </c>
      <c r="B54" s="41" t="s">
        <v>199</v>
      </c>
      <c r="C54" s="45" t="s">
        <v>133</v>
      </c>
      <c r="D54" s="41"/>
    </row>
    <row r="55" spans="1:4" ht="28" customHeight="1" x14ac:dyDescent="0.35">
      <c r="A55" s="41" t="s">
        <v>61</v>
      </c>
      <c r="B55" s="41" t="s">
        <v>199</v>
      </c>
      <c r="C55" s="45" t="s">
        <v>134</v>
      </c>
      <c r="D55" s="41"/>
    </row>
    <row r="56" spans="1:4" ht="28" customHeight="1" x14ac:dyDescent="0.35">
      <c r="A56" s="41" t="s">
        <v>61</v>
      </c>
      <c r="B56" s="41" t="s">
        <v>200</v>
      </c>
      <c r="C56" s="45" t="s">
        <v>133</v>
      </c>
      <c r="D56" s="41"/>
    </row>
    <row r="57" spans="1:4" ht="28" customHeight="1" x14ac:dyDescent="0.35">
      <c r="A57" s="41" t="s">
        <v>61</v>
      </c>
      <c r="B57" s="41" t="s">
        <v>200</v>
      </c>
      <c r="C57" s="45" t="s">
        <v>134</v>
      </c>
      <c r="D57" s="41"/>
    </row>
    <row r="58" spans="1:4" ht="28" customHeight="1" x14ac:dyDescent="0.35">
      <c r="A58" s="41" t="s">
        <v>61</v>
      </c>
      <c r="B58" s="41" t="s">
        <v>201</v>
      </c>
      <c r="C58" s="45" t="s">
        <v>133</v>
      </c>
      <c r="D58" s="41"/>
    </row>
    <row r="59" spans="1:4" ht="28" customHeight="1" x14ac:dyDescent="0.35">
      <c r="A59" s="41" t="s">
        <v>61</v>
      </c>
      <c r="B59" s="41" t="s">
        <v>201</v>
      </c>
      <c r="C59" s="45" t="s">
        <v>134</v>
      </c>
      <c r="D59" s="41"/>
    </row>
    <row r="60" spans="1:4" ht="28" customHeight="1" x14ac:dyDescent="0.35">
      <c r="A60" s="41" t="s">
        <v>61</v>
      </c>
      <c r="B60" s="41" t="s">
        <v>202</v>
      </c>
      <c r="C60" s="45" t="s">
        <v>133</v>
      </c>
      <c r="D60" s="41"/>
    </row>
    <row r="61" spans="1:4" ht="28" customHeight="1" x14ac:dyDescent="0.35">
      <c r="A61" s="41" t="s">
        <v>61</v>
      </c>
      <c r="B61" s="41" t="s">
        <v>202</v>
      </c>
      <c r="C61" s="45" t="s">
        <v>134</v>
      </c>
      <c r="D61" s="41"/>
    </row>
    <row r="62" spans="1:4" ht="28" customHeight="1" x14ac:dyDescent="0.35">
      <c r="A62" s="41" t="s">
        <v>61</v>
      </c>
      <c r="B62" s="41" t="s">
        <v>203</v>
      </c>
      <c r="C62" s="45" t="s">
        <v>133</v>
      </c>
      <c r="D62" s="41"/>
    </row>
    <row r="63" spans="1:4" ht="28" customHeight="1" x14ac:dyDescent="0.35">
      <c r="A63" s="41" t="s">
        <v>61</v>
      </c>
      <c r="B63" s="41" t="s">
        <v>203</v>
      </c>
      <c r="C63" s="45" t="s">
        <v>134</v>
      </c>
      <c r="D63" s="41"/>
    </row>
    <row r="64" spans="1:4" ht="28" customHeight="1" x14ac:dyDescent="0.35">
      <c r="A64" s="41" t="s">
        <v>62</v>
      </c>
      <c r="B64" s="41" t="s">
        <v>204</v>
      </c>
      <c r="C64" s="45" t="s">
        <v>134</v>
      </c>
      <c r="D64" s="41"/>
    </row>
    <row r="65" spans="1:4" ht="28" customHeight="1" x14ac:dyDescent="0.35">
      <c r="A65" s="41" t="s">
        <v>62</v>
      </c>
      <c r="B65" s="41" t="s">
        <v>205</v>
      </c>
      <c r="C65" s="45" t="s">
        <v>134</v>
      </c>
      <c r="D65" s="41"/>
    </row>
    <row r="66" spans="1:4" ht="28" customHeight="1" x14ac:dyDescent="0.35">
      <c r="A66" s="41" t="s">
        <v>62</v>
      </c>
      <c r="B66" s="41" t="s">
        <v>206</v>
      </c>
      <c r="C66" s="45" t="s">
        <v>134</v>
      </c>
      <c r="D66" s="41"/>
    </row>
    <row r="67" spans="1:4" ht="28" customHeight="1" x14ac:dyDescent="0.35">
      <c r="A67" s="41" t="s">
        <v>62</v>
      </c>
      <c r="B67" s="41" t="s">
        <v>207</v>
      </c>
      <c r="C67" s="45" t="s">
        <v>134</v>
      </c>
      <c r="D67" s="41"/>
    </row>
    <row r="68" spans="1:4" ht="28" customHeight="1" x14ac:dyDescent="0.35">
      <c r="A68" s="41" t="s">
        <v>62</v>
      </c>
      <c r="B68" s="41" t="s">
        <v>208</v>
      </c>
      <c r="C68" s="45" t="s">
        <v>133</v>
      </c>
      <c r="D68" s="41"/>
    </row>
    <row r="69" spans="1:4" ht="28" customHeight="1" x14ac:dyDescent="0.35">
      <c r="A69" s="41" t="s">
        <v>62</v>
      </c>
      <c r="B69" s="41" t="s">
        <v>208</v>
      </c>
      <c r="C69" s="45" t="s">
        <v>134</v>
      </c>
      <c r="D69" s="41"/>
    </row>
    <row r="70" spans="1:4" ht="28" customHeight="1" x14ac:dyDescent="0.35">
      <c r="A70" s="41" t="s">
        <v>62</v>
      </c>
      <c r="B70" s="41" t="s">
        <v>209</v>
      </c>
      <c r="C70" s="45" t="s">
        <v>133</v>
      </c>
      <c r="D70" s="41"/>
    </row>
    <row r="71" spans="1:4" ht="28" customHeight="1" x14ac:dyDescent="0.35">
      <c r="A71" s="41" t="s">
        <v>62</v>
      </c>
      <c r="B71" s="41" t="s">
        <v>209</v>
      </c>
      <c r="C71" s="45" t="s">
        <v>134</v>
      </c>
      <c r="D71" s="41"/>
    </row>
    <row r="72" spans="1:4" ht="28" customHeight="1" x14ac:dyDescent="0.35">
      <c r="A72" s="41" t="s">
        <v>62</v>
      </c>
      <c r="B72" s="41" t="s">
        <v>210</v>
      </c>
      <c r="C72" s="45" t="s">
        <v>133</v>
      </c>
      <c r="D72" s="41"/>
    </row>
    <row r="73" spans="1:4" ht="28" customHeight="1" x14ac:dyDescent="0.35">
      <c r="A73" s="41" t="s">
        <v>62</v>
      </c>
      <c r="B73" s="41" t="s">
        <v>210</v>
      </c>
      <c r="C73" s="45" t="s">
        <v>134</v>
      </c>
      <c r="D73" s="41"/>
    </row>
    <row r="74" spans="1:4" ht="28" customHeight="1" x14ac:dyDescent="0.35">
      <c r="A74" s="41" t="s">
        <v>62</v>
      </c>
      <c r="B74" s="41" t="s">
        <v>211</v>
      </c>
      <c r="C74" s="45" t="s">
        <v>133</v>
      </c>
      <c r="D74" s="41"/>
    </row>
    <row r="75" spans="1:4" ht="28" customHeight="1" x14ac:dyDescent="0.35">
      <c r="A75" s="41" t="s">
        <v>62</v>
      </c>
      <c r="B75" s="41" t="s">
        <v>211</v>
      </c>
      <c r="C75" s="45" t="s">
        <v>134</v>
      </c>
      <c r="D75" s="41"/>
    </row>
    <row r="76" spans="1:4" ht="28" customHeight="1" x14ac:dyDescent="0.35">
      <c r="A76" s="41" t="s">
        <v>62</v>
      </c>
      <c r="B76" s="41" t="s">
        <v>212</v>
      </c>
      <c r="C76" s="45" t="s">
        <v>132</v>
      </c>
      <c r="D76" s="41"/>
    </row>
    <row r="77" spans="1:4" ht="28" customHeight="1" x14ac:dyDescent="0.35">
      <c r="A77" s="41" t="s">
        <v>62</v>
      </c>
      <c r="B77" s="41" t="s">
        <v>212</v>
      </c>
      <c r="C77" s="45" t="s">
        <v>133</v>
      </c>
      <c r="D77" s="41"/>
    </row>
    <row r="78" spans="1:4" ht="28" customHeight="1" x14ac:dyDescent="0.35">
      <c r="A78" s="41" t="s">
        <v>62</v>
      </c>
      <c r="B78" s="41" t="s">
        <v>212</v>
      </c>
      <c r="C78" s="45" t="s">
        <v>134</v>
      </c>
      <c r="D78" s="41"/>
    </row>
    <row r="79" spans="1:4" ht="28" customHeight="1" x14ac:dyDescent="0.35">
      <c r="A79" s="41" t="s">
        <v>62</v>
      </c>
      <c r="B79" s="41" t="s">
        <v>213</v>
      </c>
      <c r="C79" s="45" t="s">
        <v>132</v>
      </c>
      <c r="D79" s="41"/>
    </row>
    <row r="80" spans="1:4" ht="28" customHeight="1" x14ac:dyDescent="0.35">
      <c r="A80" s="41" t="s">
        <v>62</v>
      </c>
      <c r="B80" s="41" t="s">
        <v>213</v>
      </c>
      <c r="C80" s="45" t="s">
        <v>133</v>
      </c>
      <c r="D80" s="41"/>
    </row>
    <row r="81" spans="1:4" ht="28" customHeight="1" x14ac:dyDescent="0.35">
      <c r="A81" s="41" t="s">
        <v>62</v>
      </c>
      <c r="B81" s="41" t="s">
        <v>213</v>
      </c>
      <c r="C81" s="45" t="s">
        <v>134</v>
      </c>
      <c r="D81" s="41"/>
    </row>
    <row r="82" spans="1:4" ht="28" customHeight="1" x14ac:dyDescent="0.35">
      <c r="A82" s="41" t="s">
        <v>62</v>
      </c>
      <c r="B82" s="41" t="s">
        <v>214</v>
      </c>
      <c r="C82" s="45" t="s">
        <v>132</v>
      </c>
      <c r="D82" s="41"/>
    </row>
    <row r="83" spans="1:4" ht="28" customHeight="1" x14ac:dyDescent="0.35">
      <c r="A83" s="41" t="s">
        <v>62</v>
      </c>
      <c r="B83" s="41" t="s">
        <v>214</v>
      </c>
      <c r="C83" s="45" t="s">
        <v>133</v>
      </c>
      <c r="D83" s="41"/>
    </row>
    <row r="84" spans="1:4" ht="28" customHeight="1" x14ac:dyDescent="0.35">
      <c r="A84" s="41" t="s">
        <v>62</v>
      </c>
      <c r="B84" s="41" t="s">
        <v>214</v>
      </c>
      <c r="C84" s="45" t="s">
        <v>134</v>
      </c>
      <c r="D84" s="41"/>
    </row>
    <row r="85" spans="1:4" ht="28" customHeight="1" x14ac:dyDescent="0.35">
      <c r="A85" s="41" t="s">
        <v>62</v>
      </c>
      <c r="B85" s="41" t="s">
        <v>215</v>
      </c>
      <c r="C85" s="45" t="s">
        <v>132</v>
      </c>
      <c r="D85" s="41"/>
    </row>
    <row r="86" spans="1:4" ht="28" customHeight="1" x14ac:dyDescent="0.35">
      <c r="A86" s="41" t="s">
        <v>62</v>
      </c>
      <c r="B86" s="41" t="s">
        <v>215</v>
      </c>
      <c r="C86" s="45" t="s">
        <v>134</v>
      </c>
      <c r="D86" s="41"/>
    </row>
    <row r="87" spans="1:4" ht="28" customHeight="1" x14ac:dyDescent="0.35">
      <c r="A87" s="41" t="s">
        <v>62</v>
      </c>
      <c r="B87" s="41" t="s">
        <v>216</v>
      </c>
      <c r="C87" s="45" t="s">
        <v>132</v>
      </c>
      <c r="D87" s="41"/>
    </row>
    <row r="88" spans="1:4" ht="28" customHeight="1" x14ac:dyDescent="0.35">
      <c r="A88" s="41" t="s">
        <v>62</v>
      </c>
      <c r="B88" s="41" t="s">
        <v>216</v>
      </c>
      <c r="C88" s="45" t="s">
        <v>134</v>
      </c>
      <c r="D88" s="41"/>
    </row>
    <row r="89" spans="1:4" ht="28" customHeight="1" x14ac:dyDescent="0.35">
      <c r="A89" s="41" t="s">
        <v>62</v>
      </c>
      <c r="B89" s="41" t="s">
        <v>217</v>
      </c>
      <c r="C89" s="45" t="s">
        <v>132</v>
      </c>
      <c r="D89" s="41"/>
    </row>
    <row r="90" spans="1:4" ht="28" customHeight="1" x14ac:dyDescent="0.35">
      <c r="A90" s="41" t="s">
        <v>62</v>
      </c>
      <c r="B90" s="41" t="s">
        <v>217</v>
      </c>
      <c r="C90" s="45" t="s">
        <v>133</v>
      </c>
      <c r="D90" s="41"/>
    </row>
    <row r="91" spans="1:4" ht="28" customHeight="1" x14ac:dyDescent="0.35">
      <c r="A91" s="41" t="s">
        <v>62</v>
      </c>
      <c r="B91" s="41" t="s">
        <v>217</v>
      </c>
      <c r="C91" s="45" t="s">
        <v>134</v>
      </c>
      <c r="D91" s="41"/>
    </row>
    <row r="92" spans="1:4" ht="28" customHeight="1" x14ac:dyDescent="0.35">
      <c r="A92" s="41" t="s">
        <v>62</v>
      </c>
      <c r="B92" s="41" t="s">
        <v>218</v>
      </c>
      <c r="C92" s="45" t="s">
        <v>132</v>
      </c>
      <c r="D92" s="41"/>
    </row>
    <row r="93" spans="1:4" ht="28" customHeight="1" x14ac:dyDescent="0.35">
      <c r="A93" s="41" t="s">
        <v>62</v>
      </c>
      <c r="B93" s="41" t="s">
        <v>218</v>
      </c>
      <c r="C93" s="45" t="s">
        <v>133</v>
      </c>
      <c r="D93" s="41"/>
    </row>
    <row r="94" spans="1:4" ht="28" customHeight="1" x14ac:dyDescent="0.35">
      <c r="A94" s="41" t="s">
        <v>62</v>
      </c>
      <c r="B94" s="41" t="s">
        <v>218</v>
      </c>
      <c r="C94" s="45" t="s">
        <v>134</v>
      </c>
      <c r="D94" s="41"/>
    </row>
    <row r="95" spans="1:4" ht="28" customHeight="1" x14ac:dyDescent="0.35">
      <c r="A95" s="41" t="s">
        <v>62</v>
      </c>
      <c r="B95" s="41" t="s">
        <v>219</v>
      </c>
      <c r="C95" s="45" t="s">
        <v>132</v>
      </c>
      <c r="D95" s="41"/>
    </row>
    <row r="96" spans="1:4" ht="28" customHeight="1" x14ac:dyDescent="0.35">
      <c r="A96" s="41" t="s">
        <v>62</v>
      </c>
      <c r="B96" s="41" t="s">
        <v>220</v>
      </c>
      <c r="C96" s="45" t="s">
        <v>132</v>
      </c>
      <c r="D96" s="41"/>
    </row>
    <row r="97" spans="1:4" ht="28" customHeight="1" x14ac:dyDescent="0.35">
      <c r="A97" s="41" t="s">
        <v>62</v>
      </c>
      <c r="B97" s="41" t="s">
        <v>220</v>
      </c>
      <c r="C97" s="45" t="s">
        <v>134</v>
      </c>
      <c r="D97" s="41"/>
    </row>
    <row r="98" spans="1:4" ht="28" customHeight="1" x14ac:dyDescent="0.35">
      <c r="A98" s="41" t="s">
        <v>62</v>
      </c>
      <c r="B98" s="41" t="s">
        <v>221</v>
      </c>
      <c r="C98" s="45" t="s">
        <v>132</v>
      </c>
      <c r="D98" s="41"/>
    </row>
    <row r="99" spans="1:4" ht="28" customHeight="1" x14ac:dyDescent="0.35">
      <c r="A99" s="41" t="s">
        <v>62</v>
      </c>
      <c r="B99" s="41" t="s">
        <v>221</v>
      </c>
      <c r="C99" s="45" t="s">
        <v>134</v>
      </c>
      <c r="D99" s="41"/>
    </row>
    <row r="100" spans="1:4" ht="28" customHeight="1" x14ac:dyDescent="0.35">
      <c r="A100" s="41" t="s">
        <v>62</v>
      </c>
      <c r="B100" s="41" t="s">
        <v>222</v>
      </c>
      <c r="C100" s="45" t="s">
        <v>132</v>
      </c>
      <c r="D100" s="41"/>
    </row>
    <row r="101" spans="1:4" ht="28" customHeight="1" x14ac:dyDescent="0.35">
      <c r="A101" s="41" t="s">
        <v>62</v>
      </c>
      <c r="B101" s="41" t="s">
        <v>222</v>
      </c>
      <c r="C101" s="45" t="s">
        <v>133</v>
      </c>
      <c r="D101" s="41"/>
    </row>
    <row r="102" spans="1:4" ht="28" customHeight="1" x14ac:dyDescent="0.35">
      <c r="A102" s="41" t="s">
        <v>62</v>
      </c>
      <c r="B102" s="41" t="s">
        <v>222</v>
      </c>
      <c r="C102" s="45" t="s">
        <v>134</v>
      </c>
      <c r="D102" s="41"/>
    </row>
    <row r="103" spans="1:4" ht="28" customHeight="1" x14ac:dyDescent="0.35">
      <c r="A103" s="41" t="s">
        <v>62</v>
      </c>
      <c r="B103" s="41" t="s">
        <v>223</v>
      </c>
      <c r="C103" s="45" t="s">
        <v>132</v>
      </c>
      <c r="D103" s="41"/>
    </row>
    <row r="104" spans="1:4" ht="28" customHeight="1" x14ac:dyDescent="0.35">
      <c r="A104" s="41" t="s">
        <v>62</v>
      </c>
      <c r="B104" s="41" t="s">
        <v>223</v>
      </c>
      <c r="C104" s="45" t="s">
        <v>133</v>
      </c>
      <c r="D104" s="41"/>
    </row>
    <row r="105" spans="1:4" ht="28" customHeight="1" x14ac:dyDescent="0.35">
      <c r="A105" s="41" t="s">
        <v>62</v>
      </c>
      <c r="B105" s="41" t="s">
        <v>223</v>
      </c>
      <c r="C105" s="45" t="s">
        <v>134</v>
      </c>
      <c r="D105" s="41"/>
    </row>
    <row r="106" spans="1:4" ht="28" customHeight="1" x14ac:dyDescent="0.35">
      <c r="A106" s="41" t="s">
        <v>62</v>
      </c>
      <c r="B106" s="41" t="s">
        <v>224</v>
      </c>
      <c r="C106" s="45" t="s">
        <v>132</v>
      </c>
      <c r="D106" s="41"/>
    </row>
    <row r="107" spans="1:4" ht="28" customHeight="1" x14ac:dyDescent="0.35">
      <c r="A107" s="41" t="s">
        <v>62</v>
      </c>
      <c r="B107" s="41" t="s">
        <v>224</v>
      </c>
      <c r="C107" s="45" t="s">
        <v>133</v>
      </c>
      <c r="D107" s="41"/>
    </row>
    <row r="108" spans="1:4" ht="28" customHeight="1" x14ac:dyDescent="0.35">
      <c r="A108" s="41" t="s">
        <v>62</v>
      </c>
      <c r="B108" s="41" t="s">
        <v>224</v>
      </c>
      <c r="C108" s="45" t="s">
        <v>134</v>
      </c>
      <c r="D108" s="41"/>
    </row>
    <row r="109" spans="1:4" ht="28" customHeight="1" x14ac:dyDescent="0.35">
      <c r="A109" s="41" t="s">
        <v>62</v>
      </c>
      <c r="B109" s="41" t="s">
        <v>225</v>
      </c>
      <c r="C109" s="45" t="s">
        <v>132</v>
      </c>
      <c r="D109" s="41"/>
    </row>
    <row r="110" spans="1:4" ht="28" customHeight="1" x14ac:dyDescent="0.35">
      <c r="A110" s="41" t="s">
        <v>62</v>
      </c>
      <c r="B110" s="41" t="s">
        <v>225</v>
      </c>
      <c r="C110" s="45" t="s">
        <v>133</v>
      </c>
      <c r="D110" s="41"/>
    </row>
    <row r="111" spans="1:4" ht="28" customHeight="1" x14ac:dyDescent="0.35">
      <c r="A111" s="41" t="s">
        <v>62</v>
      </c>
      <c r="B111" s="41" t="s">
        <v>225</v>
      </c>
      <c r="C111" s="45" t="s">
        <v>134</v>
      </c>
      <c r="D111" s="41"/>
    </row>
    <row r="112" spans="1:4" ht="28" customHeight="1" x14ac:dyDescent="0.35">
      <c r="A112" s="41" t="s">
        <v>62</v>
      </c>
      <c r="B112" s="41" t="s">
        <v>226</v>
      </c>
      <c r="C112" s="45" t="s">
        <v>132</v>
      </c>
      <c r="D112" s="41"/>
    </row>
    <row r="113" spans="1:4" ht="28" customHeight="1" x14ac:dyDescent="0.35">
      <c r="A113" s="41" t="s">
        <v>62</v>
      </c>
      <c r="B113" s="41" t="s">
        <v>226</v>
      </c>
      <c r="C113" s="45" t="s">
        <v>133</v>
      </c>
      <c r="D113" s="41"/>
    </row>
    <row r="114" spans="1:4" ht="28" customHeight="1" x14ac:dyDescent="0.35">
      <c r="A114" s="41" t="s">
        <v>62</v>
      </c>
      <c r="B114" s="41" t="s">
        <v>226</v>
      </c>
      <c r="C114" s="45" t="s">
        <v>134</v>
      </c>
      <c r="D114" s="41"/>
    </row>
    <row r="115" spans="1:4" ht="28" customHeight="1" x14ac:dyDescent="0.35">
      <c r="A115" s="41" t="s">
        <v>62</v>
      </c>
      <c r="B115" s="41" t="s">
        <v>227</v>
      </c>
      <c r="C115" s="45" t="s">
        <v>132</v>
      </c>
      <c r="D115" s="41"/>
    </row>
    <row r="116" spans="1:4" ht="28" customHeight="1" x14ac:dyDescent="0.35">
      <c r="A116" s="41" t="s">
        <v>62</v>
      </c>
      <c r="B116" s="41" t="s">
        <v>227</v>
      </c>
      <c r="C116" s="45" t="s">
        <v>133</v>
      </c>
      <c r="D116" s="41"/>
    </row>
    <row r="117" spans="1:4" ht="28" customHeight="1" x14ac:dyDescent="0.35">
      <c r="A117" s="41" t="s">
        <v>62</v>
      </c>
      <c r="B117" s="41" t="s">
        <v>227</v>
      </c>
      <c r="C117" s="45" t="s">
        <v>134</v>
      </c>
      <c r="D117" s="41"/>
    </row>
    <row r="118" spans="1:4" ht="28" customHeight="1" x14ac:dyDescent="0.35">
      <c r="A118" s="41" t="s">
        <v>62</v>
      </c>
      <c r="B118" s="41" t="s">
        <v>228</v>
      </c>
      <c r="C118" s="45" t="s">
        <v>134</v>
      </c>
      <c r="D118" s="41"/>
    </row>
    <row r="119" spans="1:4" ht="28" customHeight="1" x14ac:dyDescent="0.35">
      <c r="A119" s="41" t="s">
        <v>62</v>
      </c>
      <c r="B119" s="41" t="s">
        <v>229</v>
      </c>
      <c r="C119" s="45" t="s">
        <v>134</v>
      </c>
      <c r="D119" s="41"/>
    </row>
    <row r="120" spans="1:4" ht="28" customHeight="1" x14ac:dyDescent="0.35">
      <c r="A120" s="41" t="s">
        <v>62</v>
      </c>
      <c r="B120" s="41" t="s">
        <v>230</v>
      </c>
      <c r="C120" s="45" t="s">
        <v>134</v>
      </c>
      <c r="D120" s="41"/>
    </row>
    <row r="121" spans="1:4" ht="28" customHeight="1" x14ac:dyDescent="0.35">
      <c r="A121" s="41" t="s">
        <v>62</v>
      </c>
      <c r="B121" s="41" t="s">
        <v>231</v>
      </c>
      <c r="C121" s="45" t="s">
        <v>134</v>
      </c>
      <c r="D121" s="41"/>
    </row>
    <row r="122" spans="1:4" ht="28" customHeight="1" x14ac:dyDescent="0.35">
      <c r="A122" s="41" t="s">
        <v>62</v>
      </c>
      <c r="B122" s="41" t="s">
        <v>232</v>
      </c>
      <c r="C122" s="45" t="s">
        <v>131</v>
      </c>
      <c r="D122" s="41"/>
    </row>
    <row r="123" spans="1:4" ht="28" customHeight="1" x14ac:dyDescent="0.35">
      <c r="A123" s="41" t="s">
        <v>62</v>
      </c>
      <c r="B123" s="41" t="s">
        <v>232</v>
      </c>
      <c r="C123" s="45" t="s">
        <v>132</v>
      </c>
      <c r="D123" s="41"/>
    </row>
    <row r="124" spans="1:4" ht="28" customHeight="1" x14ac:dyDescent="0.35">
      <c r="A124" s="41" t="s">
        <v>62</v>
      </c>
      <c r="B124" s="41" t="s">
        <v>232</v>
      </c>
      <c r="C124" s="45" t="s">
        <v>131</v>
      </c>
      <c r="D124" s="41"/>
    </row>
    <row r="125" spans="1:4" ht="28" customHeight="1" x14ac:dyDescent="0.35">
      <c r="A125" s="41" t="s">
        <v>62</v>
      </c>
      <c r="B125" s="41" t="s">
        <v>232</v>
      </c>
      <c r="C125" s="45" t="s">
        <v>132</v>
      </c>
      <c r="D125" s="41"/>
    </row>
    <row r="126" spans="1:4" ht="28" customHeight="1" x14ac:dyDescent="0.35">
      <c r="A126" s="41" t="s">
        <v>62</v>
      </c>
      <c r="B126" s="41" t="s">
        <v>232</v>
      </c>
      <c r="C126" s="45" t="s">
        <v>131</v>
      </c>
      <c r="D126" s="41"/>
    </row>
    <row r="127" spans="1:4" ht="28" customHeight="1" x14ac:dyDescent="0.35">
      <c r="A127" s="41" t="s">
        <v>62</v>
      </c>
      <c r="B127" s="41" t="s">
        <v>232</v>
      </c>
      <c r="C127" s="45" t="s">
        <v>132</v>
      </c>
      <c r="D127" s="41"/>
    </row>
    <row r="128" spans="1:4" ht="28" customHeight="1" x14ac:dyDescent="0.35">
      <c r="A128" s="41" t="s">
        <v>62</v>
      </c>
      <c r="B128" s="41" t="s">
        <v>232</v>
      </c>
      <c r="C128" s="45" t="s">
        <v>131</v>
      </c>
      <c r="D128" s="41"/>
    </row>
    <row r="129" spans="1:4" ht="28" customHeight="1" x14ac:dyDescent="0.35">
      <c r="A129" s="41" t="s">
        <v>62</v>
      </c>
      <c r="B129" s="41" t="s">
        <v>232</v>
      </c>
      <c r="C129" s="45" t="s">
        <v>132</v>
      </c>
      <c r="D129" s="41"/>
    </row>
    <row r="130" spans="1:4" ht="28" customHeight="1" x14ac:dyDescent="0.35">
      <c r="A130" s="41" t="s">
        <v>62</v>
      </c>
      <c r="B130" s="41" t="s">
        <v>233</v>
      </c>
      <c r="C130" s="45" t="s">
        <v>132</v>
      </c>
      <c r="D130" s="41"/>
    </row>
    <row r="131" spans="1:4" ht="28" customHeight="1" x14ac:dyDescent="0.35">
      <c r="A131" s="41" t="s">
        <v>62</v>
      </c>
      <c r="B131" s="41" t="s">
        <v>234</v>
      </c>
      <c r="C131" s="45" t="s">
        <v>132</v>
      </c>
      <c r="D131" s="41"/>
    </row>
    <row r="132" spans="1:4" ht="28" customHeight="1" x14ac:dyDescent="0.35">
      <c r="A132" s="41" t="s">
        <v>62</v>
      </c>
      <c r="B132" s="41" t="s">
        <v>234</v>
      </c>
      <c r="C132" s="45" t="s">
        <v>133</v>
      </c>
      <c r="D132" s="41"/>
    </row>
    <row r="133" spans="1:4" ht="28" customHeight="1" x14ac:dyDescent="0.35">
      <c r="A133" s="41" t="s">
        <v>62</v>
      </c>
      <c r="B133" s="41" t="s">
        <v>235</v>
      </c>
      <c r="C133" s="45" t="s">
        <v>132</v>
      </c>
      <c r="D133" s="41"/>
    </row>
    <row r="134" spans="1:4" ht="28" customHeight="1" x14ac:dyDescent="0.35">
      <c r="A134" s="41" t="s">
        <v>62</v>
      </c>
      <c r="B134" s="41" t="s">
        <v>235</v>
      </c>
      <c r="C134" s="45" t="s">
        <v>133</v>
      </c>
      <c r="D134" s="41"/>
    </row>
    <row r="135" spans="1:4" ht="28" customHeight="1" x14ac:dyDescent="0.35">
      <c r="A135" s="41" t="s">
        <v>62</v>
      </c>
      <c r="B135" s="41" t="s">
        <v>235</v>
      </c>
      <c r="C135" s="45" t="s">
        <v>134</v>
      </c>
      <c r="D135" s="41"/>
    </row>
    <row r="136" spans="1:4" ht="28" customHeight="1" x14ac:dyDescent="0.35">
      <c r="A136" s="41" t="s">
        <v>62</v>
      </c>
      <c r="B136" s="41" t="s">
        <v>236</v>
      </c>
      <c r="C136" s="45" t="s">
        <v>132</v>
      </c>
      <c r="D136" s="41"/>
    </row>
    <row r="137" spans="1:4" ht="28" customHeight="1" x14ac:dyDescent="0.35">
      <c r="A137" s="41" t="s">
        <v>62</v>
      </c>
      <c r="B137" s="41" t="s">
        <v>236</v>
      </c>
      <c r="C137" s="45" t="s">
        <v>133</v>
      </c>
      <c r="D137" s="41"/>
    </row>
    <row r="138" spans="1:4" ht="28" customHeight="1" x14ac:dyDescent="0.35">
      <c r="A138" s="41" t="s">
        <v>62</v>
      </c>
      <c r="B138" s="41" t="s">
        <v>236</v>
      </c>
      <c r="C138" s="45" t="s">
        <v>134</v>
      </c>
      <c r="D138" s="41"/>
    </row>
    <row r="139" spans="1:4" ht="28" customHeight="1" x14ac:dyDescent="0.35">
      <c r="A139" s="41" t="s">
        <v>62</v>
      </c>
      <c r="B139" s="41" t="s">
        <v>237</v>
      </c>
      <c r="C139" s="45" t="s">
        <v>131</v>
      </c>
      <c r="D139" s="41"/>
    </row>
    <row r="140" spans="1:4" ht="28" customHeight="1" x14ac:dyDescent="0.35">
      <c r="A140" s="41" t="s">
        <v>62</v>
      </c>
      <c r="B140" s="41" t="s">
        <v>237</v>
      </c>
      <c r="C140" s="45" t="s">
        <v>132</v>
      </c>
      <c r="D140" s="41"/>
    </row>
    <row r="141" spans="1:4" ht="28" customHeight="1" x14ac:dyDescent="0.35">
      <c r="A141" s="41" t="s">
        <v>62</v>
      </c>
      <c r="B141" s="41" t="s">
        <v>238</v>
      </c>
      <c r="C141" s="45" t="s">
        <v>131</v>
      </c>
      <c r="D141" s="41"/>
    </row>
    <row r="142" spans="1:4" ht="28" customHeight="1" x14ac:dyDescent="0.35">
      <c r="A142" s="41" t="s">
        <v>62</v>
      </c>
      <c r="B142" s="41" t="s">
        <v>238</v>
      </c>
      <c r="C142" s="45" t="s">
        <v>132</v>
      </c>
      <c r="D142" s="41"/>
    </row>
    <row r="143" spans="1:4" ht="28" customHeight="1" x14ac:dyDescent="0.35">
      <c r="A143" s="41" t="s">
        <v>62</v>
      </c>
      <c r="B143" s="41" t="s">
        <v>239</v>
      </c>
      <c r="C143" s="45" t="s">
        <v>131</v>
      </c>
      <c r="D143" s="41"/>
    </row>
    <row r="144" spans="1:4" ht="28" customHeight="1" x14ac:dyDescent="0.35">
      <c r="A144" s="41" t="s">
        <v>62</v>
      </c>
      <c r="B144" s="41" t="s">
        <v>239</v>
      </c>
      <c r="C144" s="45" t="s">
        <v>132</v>
      </c>
      <c r="D144" s="41"/>
    </row>
    <row r="145" spans="1:4" ht="28" customHeight="1" x14ac:dyDescent="0.35">
      <c r="A145" s="41" t="s">
        <v>62</v>
      </c>
      <c r="B145" s="41" t="s">
        <v>240</v>
      </c>
      <c r="C145" s="45" t="s">
        <v>131</v>
      </c>
      <c r="D145" s="41"/>
    </row>
    <row r="146" spans="1:4" ht="28" customHeight="1" x14ac:dyDescent="0.35">
      <c r="A146" s="41" t="s">
        <v>62</v>
      </c>
      <c r="B146" s="41" t="s">
        <v>240</v>
      </c>
      <c r="C146" s="45" t="s">
        <v>132</v>
      </c>
      <c r="D146" s="41"/>
    </row>
    <row r="147" spans="1:4" ht="28" customHeight="1" x14ac:dyDescent="0.35">
      <c r="A147" s="41" t="s">
        <v>62</v>
      </c>
      <c r="B147" s="41" t="s">
        <v>240</v>
      </c>
      <c r="C147" s="45" t="s">
        <v>134</v>
      </c>
      <c r="D147" s="41"/>
    </row>
    <row r="148" spans="1:4" ht="28" customHeight="1" x14ac:dyDescent="0.35">
      <c r="A148" s="41" t="s">
        <v>62</v>
      </c>
      <c r="B148" s="41" t="s">
        <v>317</v>
      </c>
      <c r="C148" s="45" t="s">
        <v>132</v>
      </c>
      <c r="D148" s="41"/>
    </row>
    <row r="149" spans="1:4" ht="28" customHeight="1" x14ac:dyDescent="0.35">
      <c r="A149" s="41" t="s">
        <v>62</v>
      </c>
      <c r="B149" s="41" t="s">
        <v>317</v>
      </c>
      <c r="C149" s="45" t="s">
        <v>133</v>
      </c>
      <c r="D149" s="41"/>
    </row>
    <row r="150" spans="1:4" ht="28" customHeight="1" x14ac:dyDescent="0.35">
      <c r="A150" s="41" t="s">
        <v>62</v>
      </c>
      <c r="B150" s="41" t="s">
        <v>318</v>
      </c>
      <c r="C150" s="45" t="s">
        <v>132</v>
      </c>
      <c r="D150" s="41"/>
    </row>
    <row r="151" spans="1:4" ht="28" customHeight="1" x14ac:dyDescent="0.35">
      <c r="A151" s="41" t="s">
        <v>62</v>
      </c>
      <c r="B151" s="41" t="s">
        <v>319</v>
      </c>
      <c r="C151" s="45" t="s">
        <v>132</v>
      </c>
      <c r="D151" s="41"/>
    </row>
    <row r="152" spans="1:4" ht="28" customHeight="1" x14ac:dyDescent="0.35">
      <c r="A152" s="41" t="s">
        <v>62</v>
      </c>
      <c r="B152" s="41" t="s">
        <v>319</v>
      </c>
      <c r="C152" s="45" t="s">
        <v>133</v>
      </c>
      <c r="D152" s="41"/>
    </row>
    <row r="153" spans="1:4" ht="28" customHeight="1" x14ac:dyDescent="0.35">
      <c r="A153" s="41" t="s">
        <v>62</v>
      </c>
      <c r="B153" s="41" t="s">
        <v>320</v>
      </c>
      <c r="C153" s="45" t="s">
        <v>132</v>
      </c>
      <c r="D153" s="41"/>
    </row>
    <row r="154" spans="1:4" ht="28" customHeight="1" x14ac:dyDescent="0.35">
      <c r="A154" s="41" t="s">
        <v>89</v>
      </c>
      <c r="B154" s="41" t="s">
        <v>321</v>
      </c>
      <c r="C154" s="45" t="s">
        <v>133</v>
      </c>
      <c r="D154" s="41"/>
    </row>
    <row r="155" spans="1:4" ht="28" customHeight="1" x14ac:dyDescent="0.35">
      <c r="A155" s="41" t="s">
        <v>89</v>
      </c>
      <c r="B155" s="41" t="s">
        <v>322</v>
      </c>
      <c r="C155" s="45" t="s">
        <v>131</v>
      </c>
      <c r="D155" s="41"/>
    </row>
    <row r="156" spans="1:4" ht="28" customHeight="1" x14ac:dyDescent="0.35">
      <c r="A156" s="41" t="s">
        <v>89</v>
      </c>
      <c r="B156" s="41" t="s">
        <v>322</v>
      </c>
      <c r="C156" s="45" t="s">
        <v>132</v>
      </c>
      <c r="D156" s="41"/>
    </row>
    <row r="157" spans="1:4" ht="28" customHeight="1" x14ac:dyDescent="0.35">
      <c r="A157" s="41" t="s">
        <v>89</v>
      </c>
      <c r="B157" s="41" t="s">
        <v>322</v>
      </c>
      <c r="C157" s="45" t="s">
        <v>133</v>
      </c>
      <c r="D157" s="41"/>
    </row>
    <row r="158" spans="1:4" ht="28" customHeight="1" x14ac:dyDescent="0.35">
      <c r="A158" s="41" t="s">
        <v>89</v>
      </c>
      <c r="B158" s="41" t="s">
        <v>323</v>
      </c>
      <c r="C158" s="45" t="s">
        <v>132</v>
      </c>
      <c r="D158" s="41"/>
    </row>
    <row r="159" spans="1:4" ht="28" customHeight="1" x14ac:dyDescent="0.35">
      <c r="A159" s="41" t="s">
        <v>89</v>
      </c>
      <c r="B159" s="41" t="s">
        <v>324</v>
      </c>
      <c r="C159" s="45" t="s">
        <v>131</v>
      </c>
      <c r="D159" s="41"/>
    </row>
    <row r="160" spans="1:4" ht="28" customHeight="1" x14ac:dyDescent="0.35">
      <c r="A160" s="41" t="s">
        <v>89</v>
      </c>
      <c r="B160" s="41" t="s">
        <v>324</v>
      </c>
      <c r="C160" s="45" t="s">
        <v>132</v>
      </c>
      <c r="D160" s="41"/>
    </row>
    <row r="161" spans="1:4" ht="28" customHeight="1" x14ac:dyDescent="0.35">
      <c r="A161" s="41" t="s">
        <v>89</v>
      </c>
      <c r="B161" s="41" t="s">
        <v>324</v>
      </c>
      <c r="C161" s="45" t="s">
        <v>133</v>
      </c>
      <c r="D161" s="41"/>
    </row>
    <row r="162" spans="1:4" ht="28" customHeight="1" x14ac:dyDescent="0.35">
      <c r="A162" s="41" t="s">
        <v>89</v>
      </c>
      <c r="B162" s="41" t="s">
        <v>325</v>
      </c>
      <c r="C162" s="45" t="s">
        <v>131</v>
      </c>
      <c r="D162" s="41"/>
    </row>
    <row r="163" spans="1:4" ht="28" customHeight="1" x14ac:dyDescent="0.35">
      <c r="A163" s="41" t="s">
        <v>89</v>
      </c>
      <c r="B163" s="41" t="s">
        <v>325</v>
      </c>
      <c r="C163" s="45" t="s">
        <v>132</v>
      </c>
      <c r="D163" s="41"/>
    </row>
    <row r="164" spans="1:4" ht="28" customHeight="1" x14ac:dyDescent="0.35">
      <c r="A164" s="41" t="s">
        <v>89</v>
      </c>
      <c r="B164" s="41" t="s">
        <v>325</v>
      </c>
      <c r="C164" s="45" t="s">
        <v>133</v>
      </c>
      <c r="D164" s="41"/>
    </row>
    <row r="165" spans="1:4" ht="28" customHeight="1" x14ac:dyDescent="0.35">
      <c r="A165" s="41" t="s">
        <v>89</v>
      </c>
      <c r="B165" s="41" t="s">
        <v>326</v>
      </c>
      <c r="C165" s="45" t="s">
        <v>131</v>
      </c>
      <c r="D165" s="41"/>
    </row>
    <row r="166" spans="1:4" ht="28" customHeight="1" x14ac:dyDescent="0.35">
      <c r="A166" s="41" t="s">
        <v>89</v>
      </c>
      <c r="B166" s="41" t="s">
        <v>326</v>
      </c>
      <c r="C166" s="45" t="s">
        <v>132</v>
      </c>
      <c r="D166" s="41"/>
    </row>
    <row r="167" spans="1:4" ht="28" customHeight="1" x14ac:dyDescent="0.35">
      <c r="A167" s="41" t="s">
        <v>89</v>
      </c>
      <c r="B167" s="41" t="s">
        <v>326</v>
      </c>
      <c r="C167" s="45" t="s">
        <v>133</v>
      </c>
      <c r="D167" s="41"/>
    </row>
    <row r="168" spans="1:4" ht="28" customHeight="1" x14ac:dyDescent="0.35">
      <c r="A168" s="41" t="s">
        <v>75</v>
      </c>
      <c r="B168" s="41" t="s">
        <v>241</v>
      </c>
      <c r="C168" s="45" t="s">
        <v>134</v>
      </c>
      <c r="D168" s="41"/>
    </row>
    <row r="169" spans="1:4" ht="28" customHeight="1" x14ac:dyDescent="0.35">
      <c r="A169" s="41" t="s">
        <v>75</v>
      </c>
      <c r="B169" s="41" t="s">
        <v>242</v>
      </c>
      <c r="C169" s="45" t="s">
        <v>134</v>
      </c>
      <c r="D169" s="41"/>
    </row>
    <row r="170" spans="1:4" ht="28" customHeight="1" x14ac:dyDescent="0.35">
      <c r="A170" s="41" t="s">
        <v>75</v>
      </c>
      <c r="B170" s="41" t="s">
        <v>243</v>
      </c>
      <c r="C170" s="45" t="s">
        <v>134</v>
      </c>
      <c r="D170" s="41"/>
    </row>
    <row r="171" spans="1:4" ht="28" customHeight="1" x14ac:dyDescent="0.35">
      <c r="A171" s="41" t="s">
        <v>75</v>
      </c>
      <c r="B171" s="41" t="s">
        <v>244</v>
      </c>
      <c r="C171" s="45" t="s">
        <v>134</v>
      </c>
      <c r="D171" s="41"/>
    </row>
    <row r="172" spans="1:4" ht="28" customHeight="1" x14ac:dyDescent="0.35">
      <c r="A172" s="41" t="s">
        <v>75</v>
      </c>
      <c r="B172" s="41" t="s">
        <v>327</v>
      </c>
      <c r="C172" s="45" t="s">
        <v>133</v>
      </c>
      <c r="D172" s="41"/>
    </row>
    <row r="173" spans="1:4" ht="28" customHeight="1" x14ac:dyDescent="0.35">
      <c r="A173" s="41" t="s">
        <v>75</v>
      </c>
      <c r="B173" s="41" t="s">
        <v>328</v>
      </c>
      <c r="C173" s="45" t="s">
        <v>133</v>
      </c>
      <c r="D173" s="41"/>
    </row>
    <row r="174" spans="1:4" ht="28" customHeight="1" x14ac:dyDescent="0.35">
      <c r="A174" s="41" t="s">
        <v>75</v>
      </c>
      <c r="B174" s="41" t="s">
        <v>329</v>
      </c>
      <c r="C174" s="45" t="s">
        <v>133</v>
      </c>
      <c r="D174" s="41"/>
    </row>
    <row r="175" spans="1:4" ht="28" customHeight="1" x14ac:dyDescent="0.35">
      <c r="A175" s="41" t="s">
        <v>58</v>
      </c>
      <c r="B175" s="41" t="s">
        <v>330</v>
      </c>
      <c r="C175" s="45" t="s">
        <v>131</v>
      </c>
      <c r="D175" s="41"/>
    </row>
    <row r="176" spans="1:4" ht="28" customHeight="1" x14ac:dyDescent="0.35">
      <c r="A176" s="41" t="s">
        <v>58</v>
      </c>
      <c r="B176" s="41" t="s">
        <v>330</v>
      </c>
      <c r="C176" s="45" t="s">
        <v>132</v>
      </c>
      <c r="D176" s="41"/>
    </row>
    <row r="177" spans="1:4" ht="28" customHeight="1" x14ac:dyDescent="0.35">
      <c r="A177" s="41" t="s">
        <v>58</v>
      </c>
      <c r="B177" s="41" t="s">
        <v>330</v>
      </c>
      <c r="C177" s="45" t="s">
        <v>133</v>
      </c>
      <c r="D177" s="41"/>
    </row>
    <row r="178" spans="1:4" ht="28" customHeight="1" x14ac:dyDescent="0.35">
      <c r="A178" s="41" t="s">
        <v>58</v>
      </c>
      <c r="B178" s="41" t="s">
        <v>331</v>
      </c>
      <c r="C178" s="45" t="s">
        <v>131</v>
      </c>
      <c r="D178" s="41"/>
    </row>
    <row r="179" spans="1:4" ht="28" customHeight="1" x14ac:dyDescent="0.35">
      <c r="A179" s="41" t="s">
        <v>58</v>
      </c>
      <c r="B179" s="41" t="s">
        <v>331</v>
      </c>
      <c r="C179" s="45" t="s">
        <v>132</v>
      </c>
      <c r="D179" s="41"/>
    </row>
    <row r="180" spans="1:4" ht="28" customHeight="1" x14ac:dyDescent="0.35">
      <c r="A180" s="41" t="s">
        <v>58</v>
      </c>
      <c r="B180" s="41" t="s">
        <v>331</v>
      </c>
      <c r="C180" s="45" t="s">
        <v>133</v>
      </c>
      <c r="D180" s="41"/>
    </row>
    <row r="181" spans="1:4" ht="28" customHeight="1" x14ac:dyDescent="0.35">
      <c r="A181" s="41" t="s">
        <v>69</v>
      </c>
      <c r="B181" s="41" t="s">
        <v>287</v>
      </c>
      <c r="C181" s="45" t="s">
        <v>133</v>
      </c>
      <c r="D181" s="41"/>
    </row>
    <row r="182" spans="1:4" ht="28" customHeight="1" x14ac:dyDescent="0.35">
      <c r="A182" s="41" t="s">
        <v>85</v>
      </c>
      <c r="B182" s="41" t="s">
        <v>332</v>
      </c>
      <c r="C182" s="45" t="s">
        <v>133</v>
      </c>
      <c r="D182" s="41"/>
    </row>
    <row r="183" spans="1:4" ht="28" customHeight="1" x14ac:dyDescent="0.35">
      <c r="A183" s="41" t="s">
        <v>82</v>
      </c>
      <c r="B183" s="41" t="s">
        <v>245</v>
      </c>
      <c r="C183" s="45" t="s">
        <v>132</v>
      </c>
      <c r="D183" s="41"/>
    </row>
    <row r="184" spans="1:4" ht="28" customHeight="1" x14ac:dyDescent="0.35">
      <c r="A184" s="41" t="s">
        <v>82</v>
      </c>
      <c r="B184" s="41" t="s">
        <v>246</v>
      </c>
      <c r="C184" s="45" t="s">
        <v>132</v>
      </c>
      <c r="D184" s="41"/>
    </row>
    <row r="185" spans="1:4" ht="28" customHeight="1" x14ac:dyDescent="0.35">
      <c r="A185" s="41" t="s">
        <v>82</v>
      </c>
      <c r="B185" s="41" t="s">
        <v>247</v>
      </c>
      <c r="C185" s="45" t="s">
        <v>132</v>
      </c>
      <c r="D185" s="41"/>
    </row>
    <row r="186" spans="1:4" ht="28" customHeight="1" x14ac:dyDescent="0.35">
      <c r="A186" s="41" t="s">
        <v>82</v>
      </c>
      <c r="B186" s="41" t="s">
        <v>248</v>
      </c>
      <c r="C186" s="45" t="s">
        <v>132</v>
      </c>
      <c r="D186" s="41"/>
    </row>
    <row r="187" spans="1:4" ht="28" customHeight="1" x14ac:dyDescent="0.35">
      <c r="A187" s="41" t="s">
        <v>82</v>
      </c>
      <c r="B187" s="41" t="s">
        <v>249</v>
      </c>
      <c r="C187" s="45" t="s">
        <v>133</v>
      </c>
      <c r="D187" s="41"/>
    </row>
    <row r="188" spans="1:4" ht="28" customHeight="1" x14ac:dyDescent="0.35">
      <c r="A188" s="41" t="s">
        <v>82</v>
      </c>
      <c r="B188" s="41" t="s">
        <v>250</v>
      </c>
      <c r="C188" s="45" t="s">
        <v>133</v>
      </c>
      <c r="D188" s="41"/>
    </row>
    <row r="189" spans="1:4" ht="28" customHeight="1" x14ac:dyDescent="0.35">
      <c r="A189" s="41" t="s">
        <v>82</v>
      </c>
      <c r="B189" s="41" t="s">
        <v>251</v>
      </c>
      <c r="C189" s="45" t="s">
        <v>134</v>
      </c>
      <c r="D189" s="41"/>
    </row>
    <row r="190" spans="1:4" ht="28" customHeight="1" x14ac:dyDescent="0.35">
      <c r="A190" s="41" t="s">
        <v>82</v>
      </c>
      <c r="B190" s="41" t="s">
        <v>252</v>
      </c>
      <c r="C190" s="45" t="s">
        <v>134</v>
      </c>
      <c r="D190" s="41"/>
    </row>
    <row r="191" spans="1:4" ht="28" customHeight="1" x14ac:dyDescent="0.35">
      <c r="A191" s="41" t="s">
        <v>82</v>
      </c>
      <c r="B191" s="41" t="s">
        <v>253</v>
      </c>
      <c r="C191" s="45" t="s">
        <v>134</v>
      </c>
      <c r="D191" s="41"/>
    </row>
    <row r="192" spans="1:4" ht="28" customHeight="1" x14ac:dyDescent="0.35">
      <c r="A192" s="41" t="s">
        <v>82</v>
      </c>
      <c r="B192" s="41" t="s">
        <v>254</v>
      </c>
      <c r="C192" s="45" t="s">
        <v>134</v>
      </c>
      <c r="D192" s="41"/>
    </row>
    <row r="193" spans="1:4" ht="28" customHeight="1" x14ac:dyDescent="0.35">
      <c r="A193" s="41" t="s">
        <v>82</v>
      </c>
      <c r="B193" s="41" t="s">
        <v>255</v>
      </c>
      <c r="C193" s="45" t="s">
        <v>134</v>
      </c>
      <c r="D193" s="41"/>
    </row>
    <row r="194" spans="1:4" ht="28" customHeight="1" x14ac:dyDescent="0.35">
      <c r="A194" s="41" t="s">
        <v>82</v>
      </c>
      <c r="B194" s="41" t="s">
        <v>256</v>
      </c>
      <c r="C194" s="45" t="s">
        <v>134</v>
      </c>
      <c r="D194" s="41"/>
    </row>
    <row r="195" spans="1:4" ht="28" customHeight="1" x14ac:dyDescent="0.35">
      <c r="A195" s="41" t="s">
        <v>82</v>
      </c>
      <c r="B195" s="41" t="s">
        <v>257</v>
      </c>
      <c r="C195" s="45" t="s">
        <v>134</v>
      </c>
      <c r="D195" s="41"/>
    </row>
    <row r="196" spans="1:4" ht="28" customHeight="1" x14ac:dyDescent="0.35">
      <c r="A196" s="41" t="s">
        <v>82</v>
      </c>
      <c r="B196" s="41" t="s">
        <v>258</v>
      </c>
      <c r="C196" s="45" t="s">
        <v>134</v>
      </c>
      <c r="D196" s="41"/>
    </row>
    <row r="197" spans="1:4" ht="28" customHeight="1" x14ac:dyDescent="0.35">
      <c r="A197" s="41" t="s">
        <v>82</v>
      </c>
      <c r="B197" s="41" t="s">
        <v>288</v>
      </c>
      <c r="C197" s="45" t="s">
        <v>132</v>
      </c>
      <c r="D197" s="41"/>
    </row>
    <row r="198" spans="1:4" ht="28" customHeight="1" x14ac:dyDescent="0.35">
      <c r="A198" s="41" t="s">
        <v>82</v>
      </c>
      <c r="B198" s="41" t="s">
        <v>288</v>
      </c>
      <c r="C198" s="45" t="s">
        <v>133</v>
      </c>
      <c r="D198" s="41"/>
    </row>
    <row r="199" spans="1:4" ht="28" customHeight="1" x14ac:dyDescent="0.35">
      <c r="A199" s="41" t="s">
        <v>82</v>
      </c>
      <c r="B199" s="41" t="s">
        <v>289</v>
      </c>
      <c r="C199" s="45" t="s">
        <v>132</v>
      </c>
      <c r="D199" s="41"/>
    </row>
    <row r="200" spans="1:4" ht="28" customHeight="1" x14ac:dyDescent="0.35">
      <c r="A200" s="41" t="s">
        <v>82</v>
      </c>
      <c r="B200" s="41" t="s">
        <v>289</v>
      </c>
      <c r="C200" s="45" t="s">
        <v>133</v>
      </c>
      <c r="D200" s="41"/>
    </row>
    <row r="201" spans="1:4" ht="28" customHeight="1" x14ac:dyDescent="0.35">
      <c r="A201" s="41" t="s">
        <v>82</v>
      </c>
      <c r="B201" s="41" t="s">
        <v>333</v>
      </c>
      <c r="C201" s="45" t="s">
        <v>132</v>
      </c>
      <c r="D201" s="41"/>
    </row>
    <row r="202" spans="1:4" ht="28" customHeight="1" x14ac:dyDescent="0.35">
      <c r="A202" s="41" t="s">
        <v>82</v>
      </c>
      <c r="B202" s="41" t="s">
        <v>333</v>
      </c>
      <c r="C202" s="45" t="s">
        <v>133</v>
      </c>
      <c r="D202" s="41"/>
    </row>
    <row r="203" spans="1:4" ht="28" customHeight="1" x14ac:dyDescent="0.35">
      <c r="A203" s="41" t="s">
        <v>82</v>
      </c>
      <c r="B203" s="41" t="s">
        <v>259</v>
      </c>
      <c r="C203" s="45" t="s">
        <v>134</v>
      </c>
      <c r="D203" s="41"/>
    </row>
    <row r="204" spans="1:4" ht="28" customHeight="1" x14ac:dyDescent="0.35">
      <c r="A204" s="41" t="s">
        <v>82</v>
      </c>
      <c r="B204" s="41" t="s">
        <v>260</v>
      </c>
      <c r="C204" s="45" t="s">
        <v>134</v>
      </c>
      <c r="D204" s="41"/>
    </row>
    <row r="205" spans="1:4" ht="28" customHeight="1" x14ac:dyDescent="0.35">
      <c r="A205" s="41" t="s">
        <v>82</v>
      </c>
      <c r="B205" s="41" t="s">
        <v>261</v>
      </c>
      <c r="C205" s="45" t="s">
        <v>133</v>
      </c>
      <c r="D205" s="41"/>
    </row>
    <row r="206" spans="1:4" ht="28" customHeight="1" x14ac:dyDescent="0.35">
      <c r="A206" s="41" t="s">
        <v>82</v>
      </c>
      <c r="B206" s="41" t="s">
        <v>262</v>
      </c>
      <c r="C206" s="45" t="s">
        <v>133</v>
      </c>
      <c r="D206" s="41"/>
    </row>
    <row r="207" spans="1:4" ht="28" customHeight="1" x14ac:dyDescent="0.35">
      <c r="A207" s="41" t="s">
        <v>82</v>
      </c>
      <c r="B207" s="41" t="s">
        <v>334</v>
      </c>
      <c r="C207" s="45" t="s">
        <v>133</v>
      </c>
      <c r="D207" s="41"/>
    </row>
    <row r="208" spans="1:4" ht="28" customHeight="1" x14ac:dyDescent="0.35">
      <c r="A208" s="41" t="s">
        <v>82</v>
      </c>
      <c r="B208" s="41" t="s">
        <v>263</v>
      </c>
      <c r="C208" s="45" t="s">
        <v>134</v>
      </c>
      <c r="D208" s="41"/>
    </row>
    <row r="209" spans="1:4" ht="28" customHeight="1" x14ac:dyDescent="0.35">
      <c r="A209" s="41" t="s">
        <v>82</v>
      </c>
      <c r="B209" s="41" t="s">
        <v>264</v>
      </c>
      <c r="C209" s="45" t="s">
        <v>134</v>
      </c>
      <c r="D209" s="41"/>
    </row>
    <row r="210" spans="1:4" ht="28" customHeight="1" x14ac:dyDescent="0.35">
      <c r="A210" s="41" t="s">
        <v>82</v>
      </c>
      <c r="B210" s="41" t="s">
        <v>265</v>
      </c>
      <c r="C210" s="45" t="s">
        <v>134</v>
      </c>
      <c r="D210" s="41"/>
    </row>
    <row r="211" spans="1:4" ht="28" customHeight="1" x14ac:dyDescent="0.35">
      <c r="A211" s="41" t="s">
        <v>82</v>
      </c>
      <c r="B211" s="41" t="s">
        <v>266</v>
      </c>
      <c r="C211" s="45" t="s">
        <v>134</v>
      </c>
      <c r="D211" s="41"/>
    </row>
    <row r="212" spans="1:4" ht="28" customHeight="1" x14ac:dyDescent="0.35">
      <c r="A212" s="41" t="s">
        <v>82</v>
      </c>
      <c r="B212" s="41" t="s">
        <v>267</v>
      </c>
      <c r="C212" s="45" t="s">
        <v>134</v>
      </c>
      <c r="D212" s="41"/>
    </row>
    <row r="213" spans="1:4" ht="28" customHeight="1" x14ac:dyDescent="0.35">
      <c r="A213" s="41" t="s">
        <v>82</v>
      </c>
      <c r="B213" s="41" t="s">
        <v>268</v>
      </c>
      <c r="C213" s="45" t="s">
        <v>134</v>
      </c>
      <c r="D213" s="41"/>
    </row>
    <row r="214" spans="1:4" ht="28" customHeight="1" x14ac:dyDescent="0.35">
      <c r="A214" s="41" t="s">
        <v>82</v>
      </c>
      <c r="B214" s="41" t="s">
        <v>267</v>
      </c>
      <c r="C214" s="45" t="s">
        <v>134</v>
      </c>
      <c r="D214" s="41"/>
    </row>
    <row r="215" spans="1:4" ht="28" customHeight="1" x14ac:dyDescent="0.35">
      <c r="A215" s="41" t="s">
        <v>82</v>
      </c>
      <c r="B215" s="41" t="s">
        <v>268</v>
      </c>
      <c r="C215" s="45" t="s">
        <v>134</v>
      </c>
      <c r="D215" s="41"/>
    </row>
    <row r="216" spans="1:4" ht="28" customHeight="1" x14ac:dyDescent="0.35">
      <c r="A216" s="41" t="s">
        <v>82</v>
      </c>
      <c r="B216" s="41" t="s">
        <v>269</v>
      </c>
      <c r="C216" s="45" t="s">
        <v>134</v>
      </c>
      <c r="D216" s="41"/>
    </row>
    <row r="217" spans="1:4" ht="28" customHeight="1" x14ac:dyDescent="0.35">
      <c r="A217" s="41" t="s">
        <v>82</v>
      </c>
      <c r="B217" s="41" t="s">
        <v>270</v>
      </c>
      <c r="C217" s="45" t="s">
        <v>134</v>
      </c>
      <c r="D217" s="41"/>
    </row>
    <row r="218" spans="1:4" ht="28" customHeight="1" x14ac:dyDescent="0.35">
      <c r="A218" s="41" t="s">
        <v>82</v>
      </c>
      <c r="B218" s="41" t="s">
        <v>271</v>
      </c>
      <c r="C218" s="45" t="s">
        <v>134</v>
      </c>
      <c r="D218" s="41"/>
    </row>
    <row r="219" spans="1:4" ht="28" customHeight="1" x14ac:dyDescent="0.35">
      <c r="A219" s="41" t="s">
        <v>82</v>
      </c>
      <c r="B219" s="41" t="s">
        <v>272</v>
      </c>
      <c r="C219" s="45" t="s">
        <v>134</v>
      </c>
      <c r="D219" s="41"/>
    </row>
    <row r="220" spans="1:4" ht="28" customHeight="1" x14ac:dyDescent="0.35">
      <c r="A220" s="41" t="s">
        <v>82</v>
      </c>
      <c r="B220" s="41" t="s">
        <v>290</v>
      </c>
      <c r="C220" s="45" t="s">
        <v>132</v>
      </c>
      <c r="D220" s="41"/>
    </row>
    <row r="221" spans="1:4" ht="28" customHeight="1" x14ac:dyDescent="0.35">
      <c r="A221" s="41" t="s">
        <v>82</v>
      </c>
      <c r="B221" s="41" t="s">
        <v>290</v>
      </c>
      <c r="C221" s="45" t="s">
        <v>133</v>
      </c>
      <c r="D221" s="41"/>
    </row>
    <row r="222" spans="1:4" ht="28" customHeight="1" x14ac:dyDescent="0.35">
      <c r="A222" s="41" t="s">
        <v>82</v>
      </c>
      <c r="B222" s="41" t="s">
        <v>273</v>
      </c>
      <c r="C222" s="45" t="s">
        <v>134</v>
      </c>
      <c r="D222" s="41"/>
    </row>
    <row r="223" spans="1:4" ht="28" customHeight="1" x14ac:dyDescent="0.35">
      <c r="A223" s="41" t="s">
        <v>82</v>
      </c>
      <c r="B223" s="41" t="s">
        <v>274</v>
      </c>
      <c r="C223" s="45" t="s">
        <v>134</v>
      </c>
      <c r="D223" s="41"/>
    </row>
    <row r="224" spans="1:4" ht="28" customHeight="1" x14ac:dyDescent="0.35">
      <c r="A224" s="41" t="s">
        <v>82</v>
      </c>
      <c r="B224" s="41" t="s">
        <v>275</v>
      </c>
      <c r="C224" s="45" t="s">
        <v>134</v>
      </c>
      <c r="D224" s="42"/>
    </row>
    <row r="225" spans="1:4" ht="28" customHeight="1" x14ac:dyDescent="0.35">
      <c r="A225" s="41" t="s">
        <v>82</v>
      </c>
      <c r="B225" s="41" t="s">
        <v>276</v>
      </c>
      <c r="C225" s="45" t="s">
        <v>134</v>
      </c>
      <c r="D225" s="42"/>
    </row>
    <row r="226" spans="1:4" ht="28" customHeight="1" x14ac:dyDescent="0.35">
      <c r="A226" s="41" t="s">
        <v>82</v>
      </c>
      <c r="B226" s="41" t="s">
        <v>277</v>
      </c>
      <c r="C226" s="45" t="s">
        <v>131</v>
      </c>
      <c r="D226" s="42"/>
    </row>
    <row r="227" spans="1:4" ht="28" customHeight="1" x14ac:dyDescent="0.35">
      <c r="A227" s="41" t="s">
        <v>82</v>
      </c>
      <c r="B227" s="41" t="s">
        <v>278</v>
      </c>
      <c r="C227" s="45" t="s">
        <v>134</v>
      </c>
      <c r="D227" s="42"/>
    </row>
    <row r="228" spans="1:4" ht="28" customHeight="1" x14ac:dyDescent="0.35">
      <c r="A228" s="41" t="s">
        <v>82</v>
      </c>
      <c r="B228" s="41" t="s">
        <v>279</v>
      </c>
      <c r="C228" s="45" t="s">
        <v>131</v>
      </c>
      <c r="D228" s="42"/>
    </row>
    <row r="229" spans="1:4" ht="28" customHeight="1" x14ac:dyDescent="0.35">
      <c r="A229" s="41" t="s">
        <v>82</v>
      </c>
      <c r="B229" s="41" t="s">
        <v>280</v>
      </c>
      <c r="C229" s="45" t="s">
        <v>131</v>
      </c>
      <c r="D229" s="42"/>
    </row>
    <row r="230" spans="1:4" ht="28" customHeight="1" x14ac:dyDescent="0.35">
      <c r="A230" s="41" t="s">
        <v>82</v>
      </c>
      <c r="B230" s="41" t="s">
        <v>280</v>
      </c>
      <c r="C230" s="45" t="s">
        <v>133</v>
      </c>
      <c r="D230" s="42"/>
    </row>
    <row r="231" spans="1:4" ht="28" customHeight="1" x14ac:dyDescent="0.35">
      <c r="A231" s="41" t="s">
        <v>82</v>
      </c>
      <c r="B231" s="41" t="s">
        <v>335</v>
      </c>
      <c r="C231" s="45" t="s">
        <v>133</v>
      </c>
      <c r="D231" s="42"/>
    </row>
    <row r="232" spans="1:4" ht="28" customHeight="1" x14ac:dyDescent="0.35">
      <c r="A232" s="41" t="s">
        <v>82</v>
      </c>
      <c r="B232" s="41" t="s">
        <v>291</v>
      </c>
      <c r="C232" s="45" t="s">
        <v>133</v>
      </c>
      <c r="D232" s="42"/>
    </row>
    <row r="233" spans="1:4" ht="28" customHeight="1" x14ac:dyDescent="0.35">
      <c r="A233" s="41" t="s">
        <v>82</v>
      </c>
      <c r="B233" s="41" t="s">
        <v>292</v>
      </c>
      <c r="C233" s="45" t="s">
        <v>133</v>
      </c>
      <c r="D233" s="42"/>
    </row>
    <row r="234" spans="1:4" ht="28" customHeight="1" x14ac:dyDescent="0.35">
      <c r="A234" s="41" t="s">
        <v>82</v>
      </c>
      <c r="B234" s="41" t="s">
        <v>336</v>
      </c>
      <c r="C234" s="45" t="s">
        <v>133</v>
      </c>
      <c r="D234" s="42"/>
    </row>
    <row r="235" spans="1:4" ht="28" customHeight="1" x14ac:dyDescent="0.35">
      <c r="A235" s="41" t="s">
        <v>82</v>
      </c>
      <c r="B235" s="41" t="s">
        <v>337</v>
      </c>
      <c r="C235" s="45" t="s">
        <v>133</v>
      </c>
      <c r="D235" s="42"/>
    </row>
    <row r="236" spans="1:4" ht="28" customHeight="1" x14ac:dyDescent="0.35">
      <c r="A236" s="41" t="s">
        <v>82</v>
      </c>
      <c r="B236" s="41" t="s">
        <v>338</v>
      </c>
      <c r="C236" s="45" t="s">
        <v>133</v>
      </c>
      <c r="D236" s="42"/>
    </row>
    <row r="237" spans="1:4" ht="28" customHeight="1" x14ac:dyDescent="0.35">
      <c r="A237" s="41" t="s">
        <v>82</v>
      </c>
      <c r="B237" s="41" t="s">
        <v>293</v>
      </c>
      <c r="C237" s="45" t="s">
        <v>133</v>
      </c>
      <c r="D237" s="42"/>
    </row>
    <row r="238" spans="1:4" ht="28" customHeight="1" x14ac:dyDescent="0.35">
      <c r="A238" s="41" t="s">
        <v>82</v>
      </c>
      <c r="B238" s="41" t="s">
        <v>294</v>
      </c>
      <c r="C238" s="45" t="s">
        <v>133</v>
      </c>
      <c r="D238" s="42"/>
    </row>
    <row r="239" spans="1:4" ht="28" customHeight="1" x14ac:dyDescent="0.35">
      <c r="A239" s="41" t="s">
        <v>82</v>
      </c>
      <c r="B239" s="41" t="s">
        <v>339</v>
      </c>
      <c r="C239" s="45" t="s">
        <v>133</v>
      </c>
      <c r="D239" s="42"/>
    </row>
    <row r="240" spans="1:4" ht="28" customHeight="1" x14ac:dyDescent="0.35">
      <c r="A240" s="41" t="s">
        <v>82</v>
      </c>
      <c r="B240" s="41" t="s">
        <v>340</v>
      </c>
      <c r="C240" s="45" t="s">
        <v>133</v>
      </c>
      <c r="D240" s="42"/>
    </row>
    <row r="241" spans="1:4" ht="28" customHeight="1" x14ac:dyDescent="0.35">
      <c r="A241" s="41" t="s">
        <v>82</v>
      </c>
      <c r="B241" s="41" t="s">
        <v>295</v>
      </c>
      <c r="C241" s="45" t="s">
        <v>131</v>
      </c>
      <c r="D241" s="42"/>
    </row>
    <row r="242" spans="1:4" ht="28" customHeight="1" x14ac:dyDescent="0.35">
      <c r="A242" s="41" t="s">
        <v>82</v>
      </c>
      <c r="B242" s="41" t="s">
        <v>295</v>
      </c>
      <c r="C242" s="45" t="s">
        <v>133</v>
      </c>
      <c r="D242" s="42"/>
    </row>
    <row r="243" spans="1:4" ht="28" customHeight="1" x14ac:dyDescent="0.35">
      <c r="A243" s="41" t="s">
        <v>82</v>
      </c>
      <c r="B243" s="41" t="s">
        <v>341</v>
      </c>
      <c r="C243" s="45" t="s">
        <v>131</v>
      </c>
      <c r="D243" s="42"/>
    </row>
    <row r="244" spans="1:4" ht="28" customHeight="1" x14ac:dyDescent="0.35">
      <c r="A244" s="41" t="s">
        <v>82</v>
      </c>
      <c r="B244" s="41" t="s">
        <v>341</v>
      </c>
      <c r="C244" s="45" t="s">
        <v>133</v>
      </c>
      <c r="D244" s="42"/>
    </row>
    <row r="245" spans="1:4" ht="28" customHeight="1" x14ac:dyDescent="0.35">
      <c r="A245" s="41" t="s">
        <v>82</v>
      </c>
      <c r="B245" s="41" t="s">
        <v>342</v>
      </c>
      <c r="C245" s="45" t="s">
        <v>131</v>
      </c>
      <c r="D245" s="42"/>
    </row>
    <row r="246" spans="1:4" ht="28" customHeight="1" x14ac:dyDescent="0.35">
      <c r="A246" s="41" t="s">
        <v>82</v>
      </c>
      <c r="B246" s="41" t="s">
        <v>342</v>
      </c>
      <c r="C246" s="45" t="s">
        <v>133</v>
      </c>
      <c r="D246" s="42"/>
    </row>
    <row r="247" spans="1:4" ht="28" customHeight="1" x14ac:dyDescent="0.35">
      <c r="A247" s="41" t="s">
        <v>82</v>
      </c>
      <c r="B247" s="41" t="s">
        <v>343</v>
      </c>
      <c r="C247" s="45" t="s">
        <v>133</v>
      </c>
      <c r="D247" s="42"/>
    </row>
    <row r="248" spans="1:4" ht="28" customHeight="1" x14ac:dyDescent="0.35">
      <c r="A248" s="41" t="s">
        <v>82</v>
      </c>
      <c r="B248" s="41" t="s">
        <v>344</v>
      </c>
      <c r="C248" s="45" t="s">
        <v>133</v>
      </c>
      <c r="D248" s="42"/>
    </row>
    <row r="249" spans="1:4" ht="28" customHeight="1" x14ac:dyDescent="0.35">
      <c r="A249" s="41" t="s">
        <v>82</v>
      </c>
      <c r="B249" s="41" t="s">
        <v>345</v>
      </c>
      <c r="C249" s="45" t="s">
        <v>133</v>
      </c>
      <c r="D249" s="42"/>
    </row>
    <row r="250" spans="1:4" ht="28" customHeight="1" x14ac:dyDescent="0.35">
      <c r="A250" s="41" t="s">
        <v>82</v>
      </c>
      <c r="B250" s="41" t="s">
        <v>346</v>
      </c>
      <c r="C250" s="45" t="s">
        <v>131</v>
      </c>
      <c r="D250" s="42"/>
    </row>
    <row r="251" spans="1:4" ht="28" customHeight="1" x14ac:dyDescent="0.35">
      <c r="A251" s="41" t="s">
        <v>82</v>
      </c>
      <c r="B251" s="41" t="s">
        <v>346</v>
      </c>
      <c r="C251" s="45" t="s">
        <v>133</v>
      </c>
      <c r="D251" s="42"/>
    </row>
    <row r="252" spans="1:4" ht="28" customHeight="1" x14ac:dyDescent="0.35">
      <c r="A252" s="41" t="s">
        <v>82</v>
      </c>
      <c r="B252" s="41" t="s">
        <v>347</v>
      </c>
      <c r="C252" s="45" t="s">
        <v>131</v>
      </c>
      <c r="D252" s="42"/>
    </row>
    <row r="253" spans="1:4" ht="28" customHeight="1" x14ac:dyDescent="0.35">
      <c r="A253" s="41" t="s">
        <v>82</v>
      </c>
      <c r="B253" s="41" t="s">
        <v>347</v>
      </c>
      <c r="C253" s="45" t="s">
        <v>133</v>
      </c>
      <c r="D253" s="42"/>
    </row>
    <row r="254" spans="1:4" ht="28" customHeight="1" x14ac:dyDescent="0.35">
      <c r="A254" s="36" t="s">
        <v>89</v>
      </c>
      <c r="B254" s="36" t="s">
        <v>137</v>
      </c>
      <c r="C254" s="46" t="s">
        <v>138</v>
      </c>
      <c r="D254" s="36"/>
    </row>
    <row r="255" spans="1:4" ht="28" customHeight="1" x14ac:dyDescent="0.35">
      <c r="A255" s="36" t="s">
        <v>89</v>
      </c>
      <c r="B255" s="36" t="s">
        <v>139</v>
      </c>
      <c r="C255" s="46" t="s">
        <v>138</v>
      </c>
      <c r="D255" s="36"/>
    </row>
    <row r="256" spans="1:4" ht="28" customHeight="1" x14ac:dyDescent="0.35">
      <c r="A256" s="36" t="s">
        <v>89</v>
      </c>
      <c r="B256" s="36" t="s">
        <v>140</v>
      </c>
      <c r="C256" s="46" t="s">
        <v>138</v>
      </c>
      <c r="D256" s="36"/>
    </row>
    <row r="257" spans="1:4" ht="28" customHeight="1" x14ac:dyDescent="0.35">
      <c r="A257" s="36" t="s">
        <v>89</v>
      </c>
      <c r="B257" s="36" t="s">
        <v>141</v>
      </c>
      <c r="C257" s="46" t="s">
        <v>138</v>
      </c>
      <c r="D257" s="36"/>
    </row>
    <row r="258" spans="1:4" ht="28" customHeight="1" x14ac:dyDescent="0.35">
      <c r="A258" s="36" t="s">
        <v>89</v>
      </c>
      <c r="B258" s="36" t="s">
        <v>282</v>
      </c>
      <c r="C258" s="46" t="s">
        <v>138</v>
      </c>
      <c r="D258" s="36"/>
    </row>
    <row r="259" spans="1:4" ht="28" customHeight="1" x14ac:dyDescent="0.35">
      <c r="A259" s="36" t="s">
        <v>89</v>
      </c>
      <c r="B259" s="36" t="s">
        <v>348</v>
      </c>
      <c r="C259" s="46" t="s">
        <v>138</v>
      </c>
      <c r="D259" s="36"/>
    </row>
    <row r="260" spans="1:4" ht="28" customHeight="1" x14ac:dyDescent="0.35">
      <c r="A260" s="36" t="s">
        <v>89</v>
      </c>
      <c r="B260" s="36" t="s">
        <v>296</v>
      </c>
      <c r="C260" s="46" t="s">
        <v>138</v>
      </c>
      <c r="D260" s="36"/>
    </row>
    <row r="261" spans="1:4" ht="28" customHeight="1" x14ac:dyDescent="0.35">
      <c r="A261" s="36" t="s">
        <v>89</v>
      </c>
      <c r="B261" s="36" t="s">
        <v>296</v>
      </c>
      <c r="C261" s="46" t="s">
        <v>281</v>
      </c>
      <c r="D261" s="36"/>
    </row>
    <row r="262" spans="1:4" ht="28" customHeight="1" x14ac:dyDescent="0.35">
      <c r="A262" s="36" t="s">
        <v>89</v>
      </c>
      <c r="B262" s="36" t="s">
        <v>349</v>
      </c>
      <c r="C262" s="46" t="s">
        <v>138</v>
      </c>
      <c r="D262" s="36"/>
    </row>
    <row r="263" spans="1:4" ht="28" customHeight="1" x14ac:dyDescent="0.35">
      <c r="A263" s="36" t="s">
        <v>61</v>
      </c>
      <c r="B263" s="36" t="s">
        <v>142</v>
      </c>
      <c r="C263" s="46" t="s">
        <v>138</v>
      </c>
      <c r="D263" s="36"/>
    </row>
    <row r="264" spans="1:4" ht="28" customHeight="1" x14ac:dyDescent="0.35">
      <c r="A264" s="36" t="s">
        <v>61</v>
      </c>
      <c r="B264" s="36" t="s">
        <v>143</v>
      </c>
      <c r="C264" s="46" t="s">
        <v>138</v>
      </c>
      <c r="D264" s="36"/>
    </row>
    <row r="265" spans="1:4" ht="28" customHeight="1" x14ac:dyDescent="0.35">
      <c r="A265" s="36" t="s">
        <v>61</v>
      </c>
      <c r="B265" s="36" t="s">
        <v>297</v>
      </c>
      <c r="C265" s="46" t="s">
        <v>281</v>
      </c>
      <c r="D265" s="36"/>
    </row>
    <row r="266" spans="1:4" ht="28" customHeight="1" x14ac:dyDescent="0.35">
      <c r="A266" s="36" t="s">
        <v>61</v>
      </c>
      <c r="B266" s="36" t="s">
        <v>298</v>
      </c>
      <c r="C266" s="46" t="s">
        <v>281</v>
      </c>
      <c r="D266" s="36"/>
    </row>
    <row r="267" spans="1:4" ht="28" customHeight="1" x14ac:dyDescent="0.35">
      <c r="A267" s="36" t="s">
        <v>61</v>
      </c>
      <c r="B267" s="36" t="s">
        <v>350</v>
      </c>
      <c r="C267" s="46" t="s">
        <v>281</v>
      </c>
      <c r="D267" s="36"/>
    </row>
    <row r="268" spans="1:4" ht="28" customHeight="1" x14ac:dyDescent="0.35">
      <c r="A268" s="36" t="s">
        <v>61</v>
      </c>
      <c r="B268" s="36" t="s">
        <v>144</v>
      </c>
      <c r="C268" s="46" t="s">
        <v>138</v>
      </c>
      <c r="D268" s="36"/>
    </row>
    <row r="269" spans="1:4" ht="28" customHeight="1" x14ac:dyDescent="0.35">
      <c r="A269" s="36" t="s">
        <v>61</v>
      </c>
      <c r="B269" s="36" t="s">
        <v>145</v>
      </c>
      <c r="C269" s="46" t="s">
        <v>138</v>
      </c>
      <c r="D269" s="36"/>
    </row>
    <row r="270" spans="1:4" ht="28" customHeight="1" x14ac:dyDescent="0.35">
      <c r="A270" s="36" t="s">
        <v>75</v>
      </c>
      <c r="B270" s="36" t="s">
        <v>299</v>
      </c>
      <c r="C270" s="46" t="s">
        <v>138</v>
      </c>
      <c r="D270" s="36"/>
    </row>
    <row r="271" spans="1:4" ht="28" customHeight="1" x14ac:dyDescent="0.35">
      <c r="A271" s="36" t="s">
        <v>75</v>
      </c>
      <c r="B271" s="36" t="s">
        <v>299</v>
      </c>
      <c r="C271" s="46" t="s">
        <v>281</v>
      </c>
      <c r="D271" s="36"/>
    </row>
    <row r="272" spans="1:4" ht="28" customHeight="1" x14ac:dyDescent="0.35">
      <c r="A272" s="36" t="s">
        <v>75</v>
      </c>
      <c r="B272" s="36" t="s">
        <v>300</v>
      </c>
      <c r="C272" s="46" t="s">
        <v>138</v>
      </c>
      <c r="D272" s="36"/>
    </row>
    <row r="273" spans="1:4" ht="28" customHeight="1" x14ac:dyDescent="0.35">
      <c r="A273" s="36" t="s">
        <v>75</v>
      </c>
      <c r="B273" s="36" t="s">
        <v>300</v>
      </c>
      <c r="C273" s="46" t="s">
        <v>281</v>
      </c>
      <c r="D273" s="36"/>
    </row>
    <row r="274" spans="1:4" ht="28" customHeight="1" x14ac:dyDescent="0.35">
      <c r="A274" s="36" t="s">
        <v>75</v>
      </c>
      <c r="B274" s="36" t="s">
        <v>301</v>
      </c>
      <c r="C274" s="46" t="s">
        <v>138</v>
      </c>
      <c r="D274" s="36"/>
    </row>
    <row r="275" spans="1:4" ht="28" customHeight="1" x14ac:dyDescent="0.35">
      <c r="A275" s="36" t="s">
        <v>75</v>
      </c>
      <c r="B275" s="36" t="s">
        <v>301</v>
      </c>
      <c r="C275" s="46" t="s">
        <v>281</v>
      </c>
      <c r="D275" s="36"/>
    </row>
    <row r="276" spans="1:4" ht="28" customHeight="1" x14ac:dyDescent="0.35">
      <c r="A276" s="36" t="s">
        <v>75</v>
      </c>
      <c r="B276" s="36" t="s">
        <v>351</v>
      </c>
      <c r="C276" s="46" t="s">
        <v>138</v>
      </c>
      <c r="D276" s="36"/>
    </row>
    <row r="277" spans="1:4" ht="28" customHeight="1" x14ac:dyDescent="0.35">
      <c r="A277" s="36" t="s">
        <v>75</v>
      </c>
      <c r="B277" s="36" t="s">
        <v>351</v>
      </c>
      <c r="C277" s="46" t="s">
        <v>281</v>
      </c>
      <c r="D277" s="36"/>
    </row>
    <row r="278" spans="1:4" ht="28" customHeight="1" x14ac:dyDescent="0.35">
      <c r="A278" s="36" t="s">
        <v>46</v>
      </c>
      <c r="B278" s="36" t="s">
        <v>302</v>
      </c>
      <c r="C278" s="46" t="s">
        <v>281</v>
      </c>
      <c r="D278" s="36"/>
    </row>
    <row r="279" spans="1:4" ht="28" customHeight="1" x14ac:dyDescent="0.35">
      <c r="A279" s="36" t="s">
        <v>46</v>
      </c>
      <c r="B279" s="36" t="s">
        <v>352</v>
      </c>
      <c r="C279" s="46" t="s">
        <v>138</v>
      </c>
      <c r="D279" s="36"/>
    </row>
    <row r="280" spans="1:4" ht="28" customHeight="1" x14ac:dyDescent="0.35">
      <c r="A280" s="36" t="s">
        <v>62</v>
      </c>
      <c r="B280" s="36" t="s">
        <v>146</v>
      </c>
      <c r="C280" s="46" t="s">
        <v>138</v>
      </c>
      <c r="D280" s="36"/>
    </row>
    <row r="281" spans="1:4" ht="28" customHeight="1" x14ac:dyDescent="0.35">
      <c r="A281" s="36" t="s">
        <v>62</v>
      </c>
      <c r="B281" s="36" t="s">
        <v>283</v>
      </c>
      <c r="C281" s="46" t="s">
        <v>138</v>
      </c>
      <c r="D281" s="36"/>
    </row>
    <row r="282" spans="1:4" ht="28" customHeight="1" x14ac:dyDescent="0.35">
      <c r="A282" s="36" t="s">
        <v>62</v>
      </c>
      <c r="B282" s="36" t="s">
        <v>284</v>
      </c>
      <c r="C282" s="46" t="s">
        <v>138</v>
      </c>
      <c r="D282" s="36"/>
    </row>
    <row r="283" spans="1:4" ht="28" customHeight="1" x14ac:dyDescent="0.35">
      <c r="A283" s="36" t="s">
        <v>69</v>
      </c>
      <c r="B283" s="36" t="s">
        <v>353</v>
      </c>
      <c r="C283" s="46" t="s">
        <v>138</v>
      </c>
      <c r="D283" s="36"/>
    </row>
    <row r="284" spans="1:4" ht="28" customHeight="1" x14ac:dyDescent="0.35">
      <c r="A284" s="36" t="s">
        <v>85</v>
      </c>
      <c r="B284" s="36" t="s">
        <v>354</v>
      </c>
      <c r="C284" s="46" t="s">
        <v>281</v>
      </c>
      <c r="D284" s="36"/>
    </row>
    <row r="285" spans="1:4" ht="28" customHeight="1" x14ac:dyDescent="0.35">
      <c r="A285" s="36" t="s">
        <v>79</v>
      </c>
      <c r="B285" s="36" t="s">
        <v>355</v>
      </c>
      <c r="C285" s="46" t="s">
        <v>138</v>
      </c>
      <c r="D285" s="36"/>
    </row>
    <row r="286" spans="1:4" ht="28" customHeight="1" x14ac:dyDescent="0.35">
      <c r="A286" s="36" t="s">
        <v>79</v>
      </c>
      <c r="B286" s="36" t="s">
        <v>356</v>
      </c>
      <c r="C286" s="46" t="s">
        <v>138</v>
      </c>
      <c r="D286" s="36"/>
    </row>
    <row r="287" spans="1:4" ht="28" customHeight="1" x14ac:dyDescent="0.35">
      <c r="A287" s="36" t="s">
        <v>79</v>
      </c>
      <c r="B287" s="36" t="s">
        <v>357</v>
      </c>
      <c r="C287" s="46" t="s">
        <v>138</v>
      </c>
      <c r="D287" s="36"/>
    </row>
    <row r="288" spans="1:4" ht="28" customHeight="1" x14ac:dyDescent="0.35">
      <c r="A288" s="36" t="s">
        <v>79</v>
      </c>
      <c r="B288" s="36" t="s">
        <v>358</v>
      </c>
      <c r="C288" s="46" t="s">
        <v>138</v>
      </c>
      <c r="D288" s="36"/>
    </row>
    <row r="289" spans="1:4" ht="28" customHeight="1" x14ac:dyDescent="0.35">
      <c r="A289" s="36" t="s">
        <v>79</v>
      </c>
      <c r="B289" s="36" t="s">
        <v>359</v>
      </c>
      <c r="C289" s="46" t="s">
        <v>138</v>
      </c>
      <c r="D289" s="36"/>
    </row>
    <row r="290" spans="1:4" ht="28" customHeight="1" x14ac:dyDescent="0.35">
      <c r="A290" s="36" t="s">
        <v>79</v>
      </c>
      <c r="B290" s="36" t="s">
        <v>360</v>
      </c>
      <c r="C290" s="46" t="s">
        <v>138</v>
      </c>
      <c r="D290" s="36"/>
    </row>
    <row r="291" spans="1:4" ht="28" customHeight="1" x14ac:dyDescent="0.35">
      <c r="A291" s="36" t="s">
        <v>79</v>
      </c>
      <c r="B291" s="36" t="s">
        <v>361</v>
      </c>
      <c r="C291" s="46" t="s">
        <v>138</v>
      </c>
      <c r="D291" s="36"/>
    </row>
    <row r="292" spans="1:4" ht="28" customHeight="1" x14ac:dyDescent="0.35">
      <c r="A292" s="36" t="s">
        <v>79</v>
      </c>
      <c r="B292" s="36" t="s">
        <v>362</v>
      </c>
      <c r="C292" s="46" t="s">
        <v>138</v>
      </c>
      <c r="D292" s="36"/>
    </row>
    <row r="293" spans="1:4" ht="28" customHeight="1" x14ac:dyDescent="0.35">
      <c r="A293" s="36" t="s">
        <v>58</v>
      </c>
      <c r="B293" s="36" t="s">
        <v>147</v>
      </c>
      <c r="C293" s="46" t="s">
        <v>396</v>
      </c>
      <c r="D293" s="36"/>
    </row>
    <row r="294" spans="1:4" ht="28" customHeight="1" x14ac:dyDescent="0.35">
      <c r="A294" s="36" t="s">
        <v>58</v>
      </c>
      <c r="B294" s="36" t="s">
        <v>147</v>
      </c>
      <c r="C294" s="46" t="s">
        <v>138</v>
      </c>
      <c r="D294" s="36"/>
    </row>
    <row r="295" spans="1:4" ht="28" customHeight="1" x14ac:dyDescent="0.35">
      <c r="A295" s="36" t="s">
        <v>58</v>
      </c>
      <c r="B295" s="36" t="s">
        <v>148</v>
      </c>
      <c r="C295" s="46" t="s">
        <v>396</v>
      </c>
      <c r="D295" s="36"/>
    </row>
    <row r="296" spans="1:4" ht="28" customHeight="1" x14ac:dyDescent="0.35">
      <c r="A296" s="36" t="s">
        <v>58</v>
      </c>
      <c r="B296" s="36" t="s">
        <v>149</v>
      </c>
      <c r="C296" s="46" t="s">
        <v>396</v>
      </c>
      <c r="D296" s="36"/>
    </row>
    <row r="297" spans="1:4" ht="28" customHeight="1" x14ac:dyDescent="0.35">
      <c r="A297" s="36" t="s">
        <v>58</v>
      </c>
      <c r="B297" s="36" t="s">
        <v>150</v>
      </c>
      <c r="C297" s="46" t="s">
        <v>396</v>
      </c>
      <c r="D297" s="36"/>
    </row>
    <row r="298" spans="1:4" ht="28" customHeight="1" x14ac:dyDescent="0.35">
      <c r="A298" s="36" t="s">
        <v>58</v>
      </c>
      <c r="B298" s="36" t="s">
        <v>151</v>
      </c>
      <c r="C298" s="46" t="s">
        <v>396</v>
      </c>
      <c r="D298" s="36"/>
    </row>
    <row r="299" spans="1:4" ht="28" customHeight="1" x14ac:dyDescent="0.35">
      <c r="A299" s="36" t="s">
        <v>58</v>
      </c>
      <c r="B299" s="36" t="s">
        <v>151</v>
      </c>
      <c r="C299" s="46" t="s">
        <v>138</v>
      </c>
      <c r="D299" s="36"/>
    </row>
    <row r="300" spans="1:4" ht="28" customHeight="1" x14ac:dyDescent="0.35">
      <c r="A300" s="36" t="s">
        <v>58</v>
      </c>
      <c r="B300" s="36" t="s">
        <v>152</v>
      </c>
      <c r="C300" s="46" t="s">
        <v>396</v>
      </c>
      <c r="D300" s="36"/>
    </row>
    <row r="301" spans="1:4" ht="28" customHeight="1" x14ac:dyDescent="0.35">
      <c r="A301" s="36" t="s">
        <v>58</v>
      </c>
      <c r="B301" s="36" t="s">
        <v>153</v>
      </c>
      <c r="C301" s="46" t="s">
        <v>396</v>
      </c>
      <c r="D301" s="36"/>
    </row>
    <row r="302" spans="1:4" ht="28" customHeight="1" x14ac:dyDescent="0.35">
      <c r="A302" s="36" t="s">
        <v>58</v>
      </c>
      <c r="B302" s="36" t="s">
        <v>154</v>
      </c>
      <c r="C302" s="46" t="s">
        <v>396</v>
      </c>
      <c r="D302" s="36"/>
    </row>
    <row r="303" spans="1:4" ht="28" customHeight="1" x14ac:dyDescent="0.35">
      <c r="A303" s="36" t="s">
        <v>58</v>
      </c>
      <c r="B303" s="36" t="s">
        <v>155</v>
      </c>
      <c r="C303" s="46" t="s">
        <v>396</v>
      </c>
      <c r="D303" s="36"/>
    </row>
    <row r="304" spans="1:4" ht="28" customHeight="1" x14ac:dyDescent="0.35">
      <c r="A304" s="36" t="s">
        <v>58</v>
      </c>
      <c r="B304" s="36" t="s">
        <v>155</v>
      </c>
      <c r="C304" s="46" t="s">
        <v>138</v>
      </c>
      <c r="D304" s="36"/>
    </row>
    <row r="305" spans="1:4" ht="28" customHeight="1" x14ac:dyDescent="0.35">
      <c r="A305" s="36" t="s">
        <v>58</v>
      </c>
      <c r="B305" s="36" t="s">
        <v>156</v>
      </c>
      <c r="C305" s="46" t="s">
        <v>396</v>
      </c>
      <c r="D305" s="36"/>
    </row>
    <row r="306" spans="1:4" ht="28" customHeight="1" x14ac:dyDescent="0.35">
      <c r="A306" s="36" t="s">
        <v>58</v>
      </c>
      <c r="B306" s="36" t="s">
        <v>156</v>
      </c>
      <c r="C306" s="46" t="s">
        <v>138</v>
      </c>
      <c r="D306" s="36"/>
    </row>
    <row r="307" spans="1:4" ht="28" customHeight="1" x14ac:dyDescent="0.35">
      <c r="A307" s="36" t="s">
        <v>58</v>
      </c>
      <c r="B307" s="36" t="s">
        <v>157</v>
      </c>
      <c r="C307" s="46" t="s">
        <v>396</v>
      </c>
      <c r="D307" s="36"/>
    </row>
    <row r="308" spans="1:4" ht="28" customHeight="1" x14ac:dyDescent="0.35">
      <c r="A308" s="36" t="s">
        <v>58</v>
      </c>
      <c r="B308" s="36" t="s">
        <v>158</v>
      </c>
      <c r="C308" s="46" t="s">
        <v>396</v>
      </c>
      <c r="D308" s="36"/>
    </row>
    <row r="309" spans="1:4" ht="28" customHeight="1" x14ac:dyDescent="0.35">
      <c r="A309" s="36" t="s">
        <v>58</v>
      </c>
      <c r="B309" s="36" t="s">
        <v>363</v>
      </c>
      <c r="C309" s="46" t="s">
        <v>396</v>
      </c>
      <c r="D309" s="36"/>
    </row>
    <row r="310" spans="1:4" ht="28" customHeight="1" x14ac:dyDescent="0.35">
      <c r="A310" s="36" t="s">
        <v>58</v>
      </c>
      <c r="B310" s="36" t="s">
        <v>364</v>
      </c>
      <c r="C310" s="46" t="s">
        <v>396</v>
      </c>
      <c r="D310" s="36"/>
    </row>
    <row r="311" spans="1:4" ht="28" customHeight="1" x14ac:dyDescent="0.35">
      <c r="A311" s="36" t="s">
        <v>58</v>
      </c>
      <c r="B311" s="36" t="s">
        <v>365</v>
      </c>
      <c r="C311" s="46" t="s">
        <v>396</v>
      </c>
      <c r="D311" s="36"/>
    </row>
    <row r="312" spans="1:4" ht="28" customHeight="1" x14ac:dyDescent="0.35">
      <c r="A312" s="36" t="s">
        <v>58</v>
      </c>
      <c r="B312" s="36" t="s">
        <v>366</v>
      </c>
      <c r="C312" s="46" t="s">
        <v>396</v>
      </c>
      <c r="D312" s="36"/>
    </row>
    <row r="313" spans="1:4" ht="28" customHeight="1" x14ac:dyDescent="0.35">
      <c r="A313" s="36" t="s">
        <v>58</v>
      </c>
      <c r="B313" s="36" t="s">
        <v>367</v>
      </c>
      <c r="C313" s="46" t="s">
        <v>396</v>
      </c>
      <c r="D313" s="36"/>
    </row>
    <row r="314" spans="1:4" ht="28" customHeight="1" x14ac:dyDescent="0.35">
      <c r="A314" s="36" t="s">
        <v>58</v>
      </c>
      <c r="B314" s="36" t="s">
        <v>368</v>
      </c>
      <c r="C314" s="46" t="s">
        <v>396</v>
      </c>
      <c r="D314" s="36"/>
    </row>
    <row r="315" spans="1:4" ht="28" customHeight="1" x14ac:dyDescent="0.35">
      <c r="A315" s="36" t="s">
        <v>58</v>
      </c>
      <c r="B315" s="36" t="s">
        <v>369</v>
      </c>
      <c r="C315" s="46" t="s">
        <v>396</v>
      </c>
      <c r="D315" s="36"/>
    </row>
    <row r="316" spans="1:4" ht="28" customHeight="1" x14ac:dyDescent="0.35">
      <c r="A316" s="36" t="s">
        <v>58</v>
      </c>
      <c r="B316" s="36" t="s">
        <v>370</v>
      </c>
      <c r="C316" s="46" t="s">
        <v>396</v>
      </c>
      <c r="D316" s="36"/>
    </row>
    <row r="317" spans="1:4" ht="28" customHeight="1" x14ac:dyDescent="0.35">
      <c r="A317" s="36" t="s">
        <v>58</v>
      </c>
      <c r="B317" s="36" t="s">
        <v>371</v>
      </c>
      <c r="C317" s="46" t="s">
        <v>396</v>
      </c>
      <c r="D317" s="36"/>
    </row>
    <row r="318" spans="1:4" ht="28" customHeight="1" x14ac:dyDescent="0.35">
      <c r="A318" s="36" t="s">
        <v>58</v>
      </c>
      <c r="B318" s="36" t="s">
        <v>372</v>
      </c>
      <c r="C318" s="46" t="s">
        <v>396</v>
      </c>
      <c r="D318" s="36"/>
    </row>
    <row r="319" spans="1:4" ht="28" customHeight="1" x14ac:dyDescent="0.35">
      <c r="A319" s="36" t="s">
        <v>58</v>
      </c>
      <c r="B319" s="36" t="s">
        <v>373</v>
      </c>
      <c r="C319" s="46" t="s">
        <v>396</v>
      </c>
      <c r="D319" s="36"/>
    </row>
    <row r="320" spans="1:4" ht="28" customHeight="1" x14ac:dyDescent="0.35">
      <c r="A320" s="36" t="s">
        <v>58</v>
      </c>
      <c r="B320" s="36" t="s">
        <v>374</v>
      </c>
      <c r="C320" s="46" t="s">
        <v>396</v>
      </c>
      <c r="D320" s="36"/>
    </row>
    <row r="321" spans="1:4" ht="28" customHeight="1" x14ac:dyDescent="0.35">
      <c r="A321" s="36" t="s">
        <v>58</v>
      </c>
      <c r="B321" s="36" t="s">
        <v>375</v>
      </c>
      <c r="C321" s="46" t="s">
        <v>396</v>
      </c>
      <c r="D321" s="36"/>
    </row>
    <row r="322" spans="1:4" ht="28" customHeight="1" x14ac:dyDescent="0.35">
      <c r="A322" s="36" t="s">
        <v>58</v>
      </c>
      <c r="B322" s="36" t="s">
        <v>376</v>
      </c>
      <c r="C322" s="46" t="s">
        <v>396</v>
      </c>
      <c r="D322" s="36"/>
    </row>
    <row r="323" spans="1:4" ht="28" customHeight="1" x14ac:dyDescent="0.35">
      <c r="A323" s="36" t="s">
        <v>58</v>
      </c>
      <c r="B323" s="36" t="s">
        <v>377</v>
      </c>
      <c r="C323" s="46" t="s">
        <v>396</v>
      </c>
      <c r="D323" s="36"/>
    </row>
    <row r="324" spans="1:4" ht="28" customHeight="1" x14ac:dyDescent="0.35">
      <c r="A324" s="36" t="s">
        <v>58</v>
      </c>
      <c r="B324" s="36" t="s">
        <v>378</v>
      </c>
      <c r="C324" s="46" t="s">
        <v>396</v>
      </c>
      <c r="D324" s="36"/>
    </row>
    <row r="325" spans="1:4" ht="28" customHeight="1" x14ac:dyDescent="0.35">
      <c r="A325" s="36" t="s">
        <v>58</v>
      </c>
      <c r="B325" s="36" t="s">
        <v>379</v>
      </c>
      <c r="C325" s="46" t="s">
        <v>396</v>
      </c>
      <c r="D325" s="36"/>
    </row>
    <row r="326" spans="1:4" ht="28" customHeight="1" x14ac:dyDescent="0.35">
      <c r="A326" s="36" t="s">
        <v>58</v>
      </c>
      <c r="B326" s="36" t="s">
        <v>380</v>
      </c>
      <c r="C326" s="46" t="s">
        <v>396</v>
      </c>
      <c r="D326" s="36"/>
    </row>
    <row r="327" spans="1:4" ht="28" customHeight="1" x14ac:dyDescent="0.35">
      <c r="A327" s="36" t="s">
        <v>58</v>
      </c>
      <c r="B327" s="36" t="s">
        <v>381</v>
      </c>
      <c r="C327" s="46" t="s">
        <v>396</v>
      </c>
      <c r="D327" s="36"/>
    </row>
    <row r="328" spans="1:4" ht="28" customHeight="1" x14ac:dyDescent="0.35">
      <c r="A328" s="36" t="s">
        <v>58</v>
      </c>
      <c r="B328" s="36" t="s">
        <v>382</v>
      </c>
      <c r="C328" s="46" t="s">
        <v>396</v>
      </c>
      <c r="D328" s="36"/>
    </row>
    <row r="329" spans="1:4" ht="28" customHeight="1" x14ac:dyDescent="0.35">
      <c r="A329" s="36" t="s">
        <v>58</v>
      </c>
      <c r="B329" s="36" t="s">
        <v>383</v>
      </c>
      <c r="C329" s="46" t="s">
        <v>396</v>
      </c>
      <c r="D329" s="36"/>
    </row>
    <row r="330" spans="1:4" ht="28" customHeight="1" x14ac:dyDescent="0.35">
      <c r="A330" s="36" t="s">
        <v>58</v>
      </c>
      <c r="B330" s="36" t="s">
        <v>384</v>
      </c>
      <c r="C330" s="46" t="s">
        <v>396</v>
      </c>
      <c r="D330" s="36"/>
    </row>
    <row r="331" spans="1:4" ht="28" customHeight="1" x14ac:dyDescent="0.35">
      <c r="A331" s="36" t="s">
        <v>58</v>
      </c>
      <c r="B331" s="36" t="s">
        <v>385</v>
      </c>
      <c r="C331" s="46" t="s">
        <v>396</v>
      </c>
      <c r="D331" s="36"/>
    </row>
    <row r="332" spans="1:4" ht="28" customHeight="1" x14ac:dyDescent="0.35">
      <c r="A332" s="36" t="s">
        <v>58</v>
      </c>
      <c r="B332" s="36" t="s">
        <v>386</v>
      </c>
      <c r="C332" s="46" t="s">
        <v>396</v>
      </c>
      <c r="D332" s="36"/>
    </row>
    <row r="333" spans="1:4" ht="28" customHeight="1" x14ac:dyDescent="0.35">
      <c r="A333" s="36" t="s">
        <v>58</v>
      </c>
      <c r="B333" s="36" t="s">
        <v>387</v>
      </c>
      <c r="C333" s="46" t="s">
        <v>396</v>
      </c>
      <c r="D333" s="36"/>
    </row>
    <row r="334" spans="1:4" ht="28" customHeight="1" x14ac:dyDescent="0.35">
      <c r="A334" s="36" t="s">
        <v>58</v>
      </c>
      <c r="B334" s="36" t="s">
        <v>388</v>
      </c>
      <c r="C334" s="46" t="s">
        <v>396</v>
      </c>
      <c r="D334" s="36"/>
    </row>
    <row r="335" spans="1:4" ht="28" customHeight="1" x14ac:dyDescent="0.35">
      <c r="A335" s="36" t="s">
        <v>58</v>
      </c>
      <c r="B335" s="36" t="s">
        <v>389</v>
      </c>
      <c r="C335" s="46" t="s">
        <v>396</v>
      </c>
      <c r="D335" s="36"/>
    </row>
    <row r="336" spans="1:4" ht="28" customHeight="1" x14ac:dyDescent="0.35">
      <c r="A336" s="36" t="s">
        <v>58</v>
      </c>
      <c r="B336" s="36" t="s">
        <v>390</v>
      </c>
      <c r="C336" s="46" t="s">
        <v>396</v>
      </c>
      <c r="D336" s="36"/>
    </row>
    <row r="337" spans="1:4" ht="28" customHeight="1" x14ac:dyDescent="0.35">
      <c r="A337" s="36" t="s">
        <v>73</v>
      </c>
      <c r="B337" s="36" t="s">
        <v>391</v>
      </c>
      <c r="C337" s="46" t="s">
        <v>303</v>
      </c>
      <c r="D337" s="36"/>
    </row>
    <row r="338" spans="1:4" ht="28" customHeight="1" x14ac:dyDescent="0.35">
      <c r="A338" s="36" t="s">
        <v>73</v>
      </c>
      <c r="B338" s="36" t="s">
        <v>391</v>
      </c>
      <c r="C338" s="46" t="s">
        <v>396</v>
      </c>
      <c r="D338" s="36"/>
    </row>
    <row r="339" spans="1:4" ht="28" customHeight="1" x14ac:dyDescent="0.35">
      <c r="A339" s="36" t="s">
        <v>67</v>
      </c>
      <c r="B339" s="36" t="s">
        <v>285</v>
      </c>
      <c r="C339" s="46" t="s">
        <v>138</v>
      </c>
      <c r="D339" s="36"/>
    </row>
    <row r="340" spans="1:4" ht="28" customHeight="1" x14ac:dyDescent="0.35">
      <c r="A340" s="36" t="s">
        <v>67</v>
      </c>
      <c r="B340" s="36" t="s">
        <v>392</v>
      </c>
      <c r="C340" s="46" t="s">
        <v>281</v>
      </c>
      <c r="D340" s="36"/>
    </row>
    <row r="341" spans="1:4" ht="28" customHeight="1" x14ac:dyDescent="0.35">
      <c r="A341" s="36" t="s">
        <v>67</v>
      </c>
      <c r="B341" s="36" t="s">
        <v>393</v>
      </c>
      <c r="C341" s="46" t="s">
        <v>281</v>
      </c>
      <c r="D341" s="36"/>
    </row>
    <row r="342" spans="1:4" ht="28" customHeight="1" x14ac:dyDescent="0.35">
      <c r="A342" s="36" t="s">
        <v>67</v>
      </c>
      <c r="B342" s="36" t="s">
        <v>304</v>
      </c>
      <c r="C342" s="46" t="s">
        <v>138</v>
      </c>
      <c r="D342" s="36"/>
    </row>
    <row r="343" spans="1:4" ht="28" customHeight="1" x14ac:dyDescent="0.35">
      <c r="A343" s="36" t="s">
        <v>67</v>
      </c>
      <c r="B343" s="36" t="s">
        <v>304</v>
      </c>
      <c r="C343" s="46" t="s">
        <v>281</v>
      </c>
      <c r="D343" s="36"/>
    </row>
    <row r="344" spans="1:4" ht="28" customHeight="1" x14ac:dyDescent="0.35">
      <c r="A344" s="36" t="s">
        <v>67</v>
      </c>
      <c r="B344" s="36" t="s">
        <v>394</v>
      </c>
      <c r="C344" s="46" t="s">
        <v>396</v>
      </c>
      <c r="D344" s="36"/>
    </row>
    <row r="345" spans="1:4" ht="28" customHeight="1" x14ac:dyDescent="0.35">
      <c r="A345" s="36" t="s">
        <v>67</v>
      </c>
      <c r="B345" s="36" t="s">
        <v>394</v>
      </c>
      <c r="C345" s="46" t="s">
        <v>138</v>
      </c>
      <c r="D345" s="36"/>
    </row>
    <row r="346" spans="1:4" ht="28" customHeight="1" x14ac:dyDescent="0.35">
      <c r="A346" s="36" t="s">
        <v>67</v>
      </c>
      <c r="B346" s="36" t="s">
        <v>395</v>
      </c>
      <c r="C346" s="46" t="s">
        <v>396</v>
      </c>
      <c r="D346" s="36"/>
    </row>
    <row r="347" spans="1:4" ht="28" customHeight="1" x14ac:dyDescent="0.35">
      <c r="A347" s="36"/>
      <c r="B347" s="36"/>
      <c r="C347" s="46"/>
      <c r="D347" s="36"/>
    </row>
    <row r="348" spans="1:4" ht="28" customHeight="1" x14ac:dyDescent="0.35">
      <c r="A348" s="36"/>
      <c r="B348" s="36"/>
      <c r="C348" s="46"/>
      <c r="D348" s="36"/>
    </row>
    <row r="349" spans="1:4" ht="28" customHeight="1" x14ac:dyDescent="0.35">
      <c r="A349" s="36"/>
      <c r="B349" s="36"/>
      <c r="C349" s="46"/>
      <c r="D349" s="36"/>
    </row>
    <row r="350" spans="1:4" ht="28" customHeight="1" x14ac:dyDescent="0.35">
      <c r="A350" s="36"/>
      <c r="B350" s="36"/>
      <c r="C350" s="46"/>
      <c r="D350" s="36"/>
    </row>
    <row r="351" spans="1:4" ht="28" customHeight="1" x14ac:dyDescent="0.35">
      <c r="A351" s="36"/>
      <c r="B351" s="36"/>
      <c r="C351" s="46"/>
      <c r="D351" s="36"/>
    </row>
    <row r="352" spans="1:4" ht="28" customHeight="1" x14ac:dyDescent="0.35">
      <c r="A352" s="36"/>
      <c r="B352" s="36"/>
      <c r="C352" s="46"/>
      <c r="D352" s="36"/>
    </row>
    <row r="353" spans="1:4" ht="28" customHeight="1" x14ac:dyDescent="0.35">
      <c r="A353" s="36"/>
      <c r="B353" s="36"/>
      <c r="C353" s="46"/>
      <c r="D353" s="36"/>
    </row>
    <row r="354" spans="1:4" ht="28" customHeight="1" x14ac:dyDescent="0.35">
      <c r="A354" s="36"/>
      <c r="B354" s="36"/>
      <c r="C354" s="46"/>
      <c r="D354" s="36"/>
    </row>
    <row r="355" spans="1:4" ht="28" customHeight="1" x14ac:dyDescent="0.35">
      <c r="A355" s="36"/>
      <c r="B355" s="36"/>
      <c r="C355" s="46"/>
      <c r="D355" s="36"/>
    </row>
    <row r="356" spans="1:4" ht="28" customHeight="1" x14ac:dyDescent="0.35">
      <c r="A356" s="36"/>
      <c r="B356" s="36"/>
      <c r="C356" s="46"/>
      <c r="D356" s="36"/>
    </row>
    <row r="357" spans="1:4" ht="28" customHeight="1" x14ac:dyDescent="0.35">
      <c r="A357" s="36"/>
      <c r="B357" s="36"/>
      <c r="C357" s="46"/>
      <c r="D357" s="36"/>
    </row>
    <row r="358" spans="1:4" ht="28" customHeight="1" x14ac:dyDescent="0.35">
      <c r="A358" s="36"/>
      <c r="B358" s="36"/>
      <c r="C358" s="46"/>
      <c r="D358" s="36"/>
    </row>
    <row r="359" spans="1:4" ht="28" customHeight="1" x14ac:dyDescent="0.35">
      <c r="A359" s="36"/>
      <c r="B359" s="36"/>
      <c r="C359" s="46"/>
      <c r="D359" s="36"/>
    </row>
    <row r="360" spans="1:4" ht="28" customHeight="1" x14ac:dyDescent="0.35">
      <c r="A360" s="36"/>
      <c r="B360" s="36"/>
      <c r="C360" s="46"/>
      <c r="D360" s="36"/>
    </row>
    <row r="361" spans="1:4" ht="28" customHeight="1" x14ac:dyDescent="0.35">
      <c r="A361" s="36"/>
      <c r="B361" s="36"/>
      <c r="C361" s="46"/>
      <c r="D361" s="36"/>
    </row>
    <row r="362" spans="1:4" ht="28" customHeight="1" x14ac:dyDescent="0.35">
      <c r="A362" s="36"/>
      <c r="B362" s="36"/>
      <c r="C362" s="46"/>
      <c r="D362" s="36"/>
    </row>
    <row r="363" spans="1:4" ht="28" customHeight="1" x14ac:dyDescent="0.35">
      <c r="A363" s="36"/>
      <c r="B363" s="36"/>
      <c r="C363" s="46"/>
      <c r="D363" s="36"/>
    </row>
    <row r="364" spans="1:4" ht="28" customHeight="1" x14ac:dyDescent="0.35">
      <c r="A364" s="36"/>
      <c r="B364" s="36"/>
      <c r="C364" s="46"/>
      <c r="D364" s="36"/>
    </row>
    <row r="365" spans="1:4" ht="28" customHeight="1" x14ac:dyDescent="0.35">
      <c r="A365" s="36"/>
      <c r="B365" s="36"/>
      <c r="C365" s="46"/>
      <c r="D365" s="36"/>
    </row>
    <row r="366" spans="1:4" ht="28" customHeight="1" x14ac:dyDescent="0.35">
      <c r="A366" s="36"/>
      <c r="B366" s="36"/>
      <c r="C366" s="46"/>
      <c r="D366" s="36"/>
    </row>
    <row r="367" spans="1:4" ht="28" customHeight="1" x14ac:dyDescent="0.35">
      <c r="A367" s="36"/>
      <c r="B367" s="36"/>
      <c r="C367" s="46"/>
      <c r="D367" s="36"/>
    </row>
    <row r="368" spans="1:4" ht="28" customHeight="1" x14ac:dyDescent="0.35">
      <c r="A368" s="36"/>
      <c r="B368" s="36"/>
      <c r="C368" s="46"/>
      <c r="D368" s="36"/>
    </row>
    <row r="369" spans="1:4" ht="28" customHeight="1" x14ac:dyDescent="0.35">
      <c r="A369" s="36"/>
      <c r="B369" s="36"/>
      <c r="C369" s="46"/>
      <c r="D369" s="36"/>
    </row>
    <row r="370" spans="1:4" ht="28" customHeight="1" x14ac:dyDescent="0.35">
      <c r="A370" s="36"/>
      <c r="B370" s="36"/>
      <c r="C370" s="46"/>
      <c r="D370" s="36"/>
    </row>
    <row r="371" spans="1:4" ht="28" customHeight="1" x14ac:dyDescent="0.35">
      <c r="A371" s="36"/>
      <c r="B371" s="36"/>
      <c r="C371" s="46"/>
      <c r="D371" s="36"/>
    </row>
    <row r="372" spans="1:4" ht="28" customHeight="1" x14ac:dyDescent="0.35">
      <c r="A372" s="36"/>
      <c r="B372" s="36"/>
      <c r="C372" s="46"/>
      <c r="D372" s="36"/>
    </row>
    <row r="373" spans="1:4" ht="28" customHeight="1" x14ac:dyDescent="0.35">
      <c r="A373" s="36"/>
      <c r="B373" s="36"/>
      <c r="C373" s="46"/>
      <c r="D373" s="36"/>
    </row>
    <row r="374" spans="1:4" ht="28" customHeight="1" x14ac:dyDescent="0.35">
      <c r="A374" s="36"/>
      <c r="B374" s="36"/>
      <c r="C374" s="46"/>
      <c r="D374" s="36"/>
    </row>
    <row r="375" spans="1:4" ht="28" customHeight="1" x14ac:dyDescent="0.35">
      <c r="A375" s="36"/>
      <c r="B375" s="36"/>
      <c r="C375" s="46"/>
      <c r="D375" s="36"/>
    </row>
    <row r="376" spans="1:4" ht="28" customHeight="1" x14ac:dyDescent="0.35">
      <c r="A376" s="36"/>
      <c r="B376" s="36"/>
      <c r="C376" s="46"/>
      <c r="D376" s="36"/>
    </row>
    <row r="377" spans="1:4" ht="28" customHeight="1" x14ac:dyDescent="0.35">
      <c r="A377" s="36"/>
      <c r="B377" s="36"/>
      <c r="C377" s="46"/>
      <c r="D377" s="36"/>
    </row>
    <row r="378" spans="1:4" ht="28" customHeight="1" x14ac:dyDescent="0.35">
      <c r="A378" s="36"/>
      <c r="B378" s="36"/>
      <c r="C378" s="46"/>
      <c r="D378" s="36"/>
    </row>
    <row r="379" spans="1:4" ht="28" customHeight="1" x14ac:dyDescent="0.35">
      <c r="A379" s="36"/>
      <c r="B379" s="36"/>
      <c r="C379" s="46"/>
      <c r="D379" s="36"/>
    </row>
    <row r="380" spans="1:4" ht="28" customHeight="1" x14ac:dyDescent="0.35">
      <c r="A380" s="36"/>
      <c r="B380" s="36"/>
      <c r="C380" s="46"/>
      <c r="D380" s="36"/>
    </row>
    <row r="381" spans="1:4" ht="28" customHeight="1" x14ac:dyDescent="0.35">
      <c r="A381" s="36"/>
      <c r="B381" s="36"/>
      <c r="C381" s="46"/>
      <c r="D381" s="36"/>
    </row>
    <row r="382" spans="1:4" ht="28" customHeight="1" x14ac:dyDescent="0.35">
      <c r="A382" s="36"/>
      <c r="B382" s="36"/>
      <c r="C382" s="46"/>
      <c r="D382" s="36"/>
    </row>
    <row r="383" spans="1:4" ht="28" customHeight="1" x14ac:dyDescent="0.35">
      <c r="A383" s="36"/>
      <c r="B383" s="36"/>
      <c r="C383" s="46"/>
      <c r="D383" s="36"/>
    </row>
    <row r="384" spans="1:4" ht="28" customHeight="1" x14ac:dyDescent="0.35">
      <c r="A384" s="36"/>
      <c r="B384" s="36"/>
      <c r="C384" s="46"/>
      <c r="D384" s="36"/>
    </row>
    <row r="385" spans="1:4" ht="28" customHeight="1" x14ac:dyDescent="0.35">
      <c r="A385" s="36"/>
      <c r="B385" s="36"/>
      <c r="C385" s="46"/>
      <c r="D385" s="36"/>
    </row>
    <row r="386" spans="1:4" ht="28" customHeight="1" x14ac:dyDescent="0.35">
      <c r="A386" s="36"/>
      <c r="B386" s="36"/>
      <c r="C386" s="46"/>
      <c r="D386" s="36"/>
    </row>
    <row r="387" spans="1:4" ht="28" customHeight="1" x14ac:dyDescent="0.35">
      <c r="A387" s="36"/>
      <c r="B387" s="36"/>
      <c r="C387" s="46"/>
      <c r="D387" s="36"/>
    </row>
    <row r="388" spans="1:4" ht="28" customHeight="1" x14ac:dyDescent="0.35">
      <c r="A388" s="41"/>
      <c r="B388" s="41"/>
      <c r="C388" s="45"/>
      <c r="D388" s="42"/>
    </row>
    <row r="389" spans="1:4" ht="28" customHeight="1" x14ac:dyDescent="0.35">
      <c r="A389" s="41"/>
      <c r="B389" s="41"/>
      <c r="C389" s="45"/>
      <c r="D389" s="42"/>
    </row>
    <row r="390" spans="1:4" ht="28" customHeight="1" x14ac:dyDescent="0.35">
      <c r="A390" s="41"/>
      <c r="B390" s="41"/>
      <c r="C390" s="45"/>
      <c r="D390" s="42"/>
    </row>
    <row r="391" spans="1:4" ht="28" customHeight="1" x14ac:dyDescent="0.35">
      <c r="A391" s="41"/>
      <c r="B391" s="41"/>
      <c r="C391" s="45"/>
      <c r="D391" s="42"/>
    </row>
    <row r="392" spans="1:4" ht="28" customHeight="1" x14ac:dyDescent="0.35">
      <c r="A392" s="41"/>
      <c r="B392" s="41"/>
      <c r="C392" s="45"/>
      <c r="D392" s="42"/>
    </row>
    <row r="393" spans="1:4" ht="28" customHeight="1" x14ac:dyDescent="0.35">
      <c r="A393" s="41"/>
      <c r="B393" s="41"/>
      <c r="C393" s="45"/>
      <c r="D393" s="42"/>
    </row>
    <row r="394" spans="1:4" ht="28" customHeight="1" x14ac:dyDescent="0.35">
      <c r="A394" s="41"/>
      <c r="B394" s="41"/>
      <c r="C394" s="45"/>
      <c r="D394" s="42"/>
    </row>
    <row r="395" spans="1:4" ht="28" customHeight="1" x14ac:dyDescent="0.35">
      <c r="A395" s="41"/>
      <c r="B395" s="41"/>
      <c r="C395" s="45"/>
      <c r="D395" s="42"/>
    </row>
    <row r="396" spans="1:4" ht="28" customHeight="1" x14ac:dyDescent="0.35">
      <c r="A396" s="41"/>
      <c r="B396" s="41"/>
      <c r="C396" s="45"/>
      <c r="D396" s="42"/>
    </row>
    <row r="397" spans="1:4" ht="28" customHeight="1" x14ac:dyDescent="0.35">
      <c r="A397" s="41"/>
      <c r="B397" s="41"/>
      <c r="C397" s="45"/>
      <c r="D397" s="42"/>
    </row>
    <row r="398" spans="1:4" ht="28" customHeight="1" x14ac:dyDescent="0.35">
      <c r="A398" s="41"/>
      <c r="B398" s="41"/>
      <c r="C398" s="45"/>
      <c r="D398" s="42"/>
    </row>
    <row r="399" spans="1:4" ht="28" customHeight="1" x14ac:dyDescent="0.35">
      <c r="A399" s="41"/>
      <c r="B399" s="41"/>
      <c r="C399" s="45"/>
      <c r="D399" s="42"/>
    </row>
    <row r="400" spans="1:4" ht="28" customHeight="1" x14ac:dyDescent="0.35">
      <c r="A400" s="41"/>
      <c r="B400" s="41"/>
      <c r="C400" s="45"/>
      <c r="D400" s="42"/>
    </row>
    <row r="401" spans="1:4" ht="28" customHeight="1" x14ac:dyDescent="0.35">
      <c r="A401" s="41"/>
      <c r="B401" s="41"/>
      <c r="C401" s="45"/>
      <c r="D401" s="42"/>
    </row>
    <row r="402" spans="1:4" ht="28" customHeight="1" x14ac:dyDescent="0.35">
      <c r="A402" s="41"/>
      <c r="B402" s="41"/>
      <c r="C402" s="45"/>
      <c r="D402" s="42"/>
    </row>
    <row r="403" spans="1:4" ht="28" customHeight="1" x14ac:dyDescent="0.35">
      <c r="A403" s="41"/>
      <c r="B403" s="41"/>
      <c r="C403" s="45"/>
      <c r="D403" s="42"/>
    </row>
    <row r="404" spans="1:4" ht="28" customHeight="1" x14ac:dyDescent="0.35">
      <c r="A404" s="41"/>
      <c r="B404" s="41"/>
      <c r="C404" s="45"/>
      <c r="D404" s="42"/>
    </row>
    <row r="405" spans="1:4" ht="28" customHeight="1" x14ac:dyDescent="0.35">
      <c r="A405" s="41"/>
      <c r="B405" s="41"/>
      <c r="C405" s="45"/>
      <c r="D405" s="42"/>
    </row>
    <row r="406" spans="1:4" ht="28" customHeight="1" x14ac:dyDescent="0.35">
      <c r="A406" s="41"/>
      <c r="B406" s="41"/>
      <c r="C406" s="45"/>
      <c r="D406" s="42"/>
    </row>
    <row r="407" spans="1:4" ht="28" customHeight="1" x14ac:dyDescent="0.35">
      <c r="A407" s="41"/>
      <c r="B407" s="41"/>
      <c r="C407" s="45"/>
      <c r="D407" s="42"/>
    </row>
    <row r="408" spans="1:4" ht="28" customHeight="1" x14ac:dyDescent="0.35">
      <c r="A408" s="41"/>
      <c r="B408" s="41"/>
      <c r="C408" s="45"/>
      <c r="D408" s="42"/>
    </row>
    <row r="409" spans="1:4" ht="28" customHeight="1" x14ac:dyDescent="0.35">
      <c r="A409" s="41"/>
      <c r="B409" s="41"/>
      <c r="C409" s="45"/>
      <c r="D409" s="42"/>
    </row>
    <row r="410" spans="1:4" ht="28" customHeight="1" x14ac:dyDescent="0.35">
      <c r="A410" s="41"/>
      <c r="B410" s="41"/>
      <c r="C410" s="45"/>
      <c r="D410" s="42"/>
    </row>
    <row r="411" spans="1:4" ht="28" customHeight="1" x14ac:dyDescent="0.35">
      <c r="A411" s="41"/>
      <c r="B411" s="41"/>
      <c r="C411" s="45"/>
      <c r="D411" s="42"/>
    </row>
    <row r="412" spans="1:4" ht="28" customHeight="1" x14ac:dyDescent="0.35">
      <c r="A412" s="41"/>
      <c r="B412" s="41"/>
      <c r="C412" s="45"/>
      <c r="D412" s="42"/>
    </row>
    <row r="413" spans="1:4" ht="28" customHeight="1" x14ac:dyDescent="0.35">
      <c r="A413" s="41"/>
      <c r="B413" s="41"/>
      <c r="C413" s="45"/>
      <c r="D413" s="42"/>
    </row>
    <row r="414" spans="1:4" ht="28" customHeight="1" x14ac:dyDescent="0.35">
      <c r="A414" s="36"/>
      <c r="B414" s="36"/>
      <c r="C414" s="46"/>
      <c r="D414" s="36"/>
    </row>
    <row r="415" spans="1:4" ht="28" customHeight="1" x14ac:dyDescent="0.35">
      <c r="A415" s="36"/>
      <c r="B415" s="36"/>
      <c r="C415" s="46"/>
      <c r="D415" s="36"/>
    </row>
    <row r="416" spans="1:4" ht="28" customHeight="1" x14ac:dyDescent="0.35">
      <c r="A416" s="41"/>
      <c r="B416" s="41"/>
      <c r="C416" s="45"/>
      <c r="D416" s="42"/>
    </row>
    <row r="417" spans="1:4" x14ac:dyDescent="0.35">
      <c r="A417" s="43" t="s">
        <v>95</v>
      </c>
      <c r="B417" s="38"/>
      <c r="C417" s="38"/>
      <c r="D417" s="38"/>
    </row>
  </sheetData>
  <mergeCells count="2">
    <mergeCell ref="A1:D1"/>
    <mergeCell ref="A417:D417"/>
  </mergeCells>
  <phoneticPr fontId="11" type="noConversion"/>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6100D2C-CC16-407A-8A74-78F355253040}">
          <x14:formula1>
            <xm:f>'📊 CONSEJOS'!$A$5:$A$21</xm:f>
          </x14:formula1>
          <xm:sqref>A3:A416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showGridLines="0" tabSelected="1" zoomScale="90" zoomScaleNormal="90" workbookViewId="0">
      <selection activeCell="C7" sqref="C7"/>
    </sheetView>
  </sheetViews>
  <sheetFormatPr defaultColWidth="9.1796875" defaultRowHeight="14.5" x14ac:dyDescent="0.35"/>
  <cols>
    <col min="1" max="1" width="18" customWidth="1"/>
    <col min="2" max="2" width="6" customWidth="1"/>
    <col min="3" max="3" width="90" customWidth="1"/>
  </cols>
  <sheetData>
    <row r="1" spans="1:3" ht="28" customHeight="1" x14ac:dyDescent="0.35">
      <c r="A1" s="34" t="s">
        <v>96</v>
      </c>
      <c r="B1" s="32"/>
      <c r="C1" s="32"/>
    </row>
    <row r="2" spans="1:3" x14ac:dyDescent="0.35">
      <c r="A2" s="3" t="s">
        <v>97</v>
      </c>
      <c r="B2" s="3" t="s">
        <v>98</v>
      </c>
      <c r="C2" s="3" t="s">
        <v>99</v>
      </c>
    </row>
    <row r="3" spans="1:3" x14ac:dyDescent="0.35">
      <c r="A3" s="4" t="s">
        <v>100</v>
      </c>
      <c r="B3" s="6">
        <v>1</v>
      </c>
      <c r="C3" s="28"/>
    </row>
    <row r="4" spans="1:3" ht="49" customHeight="1" x14ac:dyDescent="0.35">
      <c r="A4" s="4" t="s">
        <v>101</v>
      </c>
      <c r="B4" s="6">
        <v>1</v>
      </c>
      <c r="C4" s="8"/>
    </row>
  </sheetData>
  <mergeCells count="1">
    <mergeCell ref="A1:C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0"/>
  <sheetViews>
    <sheetView showGridLines="0" workbookViewId="0">
      <pane ySplit="2" topLeftCell="A21" activePane="bottomLeft" state="frozen"/>
      <selection pane="bottomLeft" activeCell="G30" sqref="G30"/>
    </sheetView>
  </sheetViews>
  <sheetFormatPr defaultColWidth="9.1796875" defaultRowHeight="14.5" x14ac:dyDescent="0.35"/>
  <cols>
    <col min="1" max="1" width="22" customWidth="1"/>
    <col min="2" max="2" width="26.453125" customWidth="1"/>
  </cols>
  <sheetData>
    <row r="1" spans="1:2" ht="28" customHeight="1" x14ac:dyDescent="0.35">
      <c r="A1" s="34" t="s">
        <v>102</v>
      </c>
      <c r="B1" s="32"/>
    </row>
    <row r="2" spans="1:2" x14ac:dyDescent="0.35">
      <c r="A2" s="3" t="s">
        <v>103</v>
      </c>
      <c r="B2" s="3" t="s">
        <v>104</v>
      </c>
    </row>
    <row r="3" spans="1:2" x14ac:dyDescent="0.35">
      <c r="A3" s="9" t="s">
        <v>105</v>
      </c>
      <c r="B3" s="9">
        <v>15186</v>
      </c>
    </row>
    <row r="4" spans="1:2" x14ac:dyDescent="0.35">
      <c r="A4" s="9" t="s">
        <v>106</v>
      </c>
      <c r="B4" s="9">
        <v>26052</v>
      </c>
    </row>
    <row r="5" spans="1:2" x14ac:dyDescent="0.35">
      <c r="A5" s="9" t="s">
        <v>107</v>
      </c>
      <c r="B5" s="9">
        <v>34484</v>
      </c>
    </row>
    <row r="6" spans="1:2" x14ac:dyDescent="0.35">
      <c r="A6" s="9" t="s">
        <v>108</v>
      </c>
      <c r="B6" s="9">
        <v>41015</v>
      </c>
    </row>
    <row r="7" spans="1:2" x14ac:dyDescent="0.35">
      <c r="A7" s="9" t="s">
        <v>109</v>
      </c>
      <c r="B7" s="9">
        <v>45673</v>
      </c>
    </row>
    <row r="8" spans="1:2" x14ac:dyDescent="0.35">
      <c r="A8" s="9" t="s">
        <v>110</v>
      </c>
      <c r="B8" s="9">
        <v>49196</v>
      </c>
    </row>
    <row r="9" spans="1:2" x14ac:dyDescent="0.35">
      <c r="A9" s="9" t="s">
        <v>111</v>
      </c>
      <c r="B9" s="9">
        <v>52123</v>
      </c>
    </row>
    <row r="10" spans="1:2" x14ac:dyDescent="0.35">
      <c r="A10" s="9" t="s">
        <v>112</v>
      </c>
      <c r="B10" s="9">
        <v>54856</v>
      </c>
    </row>
    <row r="11" spans="1:2" x14ac:dyDescent="0.35">
      <c r="A11" s="9" t="s">
        <v>113</v>
      </c>
      <c r="B11" s="9">
        <v>57054</v>
      </c>
    </row>
    <row r="12" spans="1:2" x14ac:dyDescent="0.35">
      <c r="A12" s="9" t="s">
        <v>114</v>
      </c>
      <c r="B12" s="9">
        <v>58620</v>
      </c>
    </row>
    <row r="13" spans="1:2" x14ac:dyDescent="0.35">
      <c r="A13" s="9" t="s">
        <v>115</v>
      </c>
      <c r="B13" s="9">
        <v>60036</v>
      </c>
    </row>
    <row r="14" spans="1:2" x14ac:dyDescent="0.35">
      <c r="A14" s="9" t="s">
        <v>116</v>
      </c>
      <c r="B14" s="9">
        <v>61418</v>
      </c>
    </row>
    <row r="15" spans="1:2" x14ac:dyDescent="0.35">
      <c r="A15" s="9" t="s">
        <v>117</v>
      </c>
      <c r="B15" s="9">
        <v>62159</v>
      </c>
    </row>
    <row r="16" spans="1:2" x14ac:dyDescent="0.35">
      <c r="A16" s="9" t="s">
        <v>118</v>
      </c>
      <c r="B16" s="9">
        <v>62994</v>
      </c>
    </row>
    <row r="17" spans="1:2" x14ac:dyDescent="0.35">
      <c r="A17" s="9" t="s">
        <v>119</v>
      </c>
      <c r="B17" s="9">
        <v>64617</v>
      </c>
    </row>
    <row r="18" spans="1:2" x14ac:dyDescent="0.35">
      <c r="A18" s="9" t="s">
        <v>120</v>
      </c>
      <c r="B18" s="9">
        <v>65236</v>
      </c>
    </row>
    <row r="19" spans="1:2" x14ac:dyDescent="0.35">
      <c r="A19" s="9" t="s">
        <v>121</v>
      </c>
      <c r="B19" s="9">
        <v>65788</v>
      </c>
    </row>
    <row r="20" spans="1:2" x14ac:dyDescent="0.35">
      <c r="A20" s="9" t="s">
        <v>122</v>
      </c>
      <c r="B20" s="9">
        <v>66279</v>
      </c>
    </row>
    <row r="21" spans="1:2" x14ac:dyDescent="0.35">
      <c r="A21" s="9" t="s">
        <v>123</v>
      </c>
      <c r="B21" s="9">
        <v>66896</v>
      </c>
    </row>
    <row r="22" spans="1:2" x14ac:dyDescent="0.35">
      <c r="A22" s="9" t="s">
        <v>124</v>
      </c>
      <c r="B22" s="9">
        <v>67658</v>
      </c>
    </row>
    <row r="23" spans="1:2" x14ac:dyDescent="0.35">
      <c r="A23" s="9" t="s">
        <v>125</v>
      </c>
      <c r="B23" s="9">
        <v>67966</v>
      </c>
    </row>
    <row r="24" spans="1:2" x14ac:dyDescent="0.35">
      <c r="A24" s="9" t="s">
        <v>126</v>
      </c>
      <c r="B24" s="9">
        <v>68963</v>
      </c>
    </row>
    <row r="25" spans="1:2" x14ac:dyDescent="0.35">
      <c r="A25" s="12">
        <v>46297</v>
      </c>
      <c r="B25" s="9">
        <v>69256</v>
      </c>
    </row>
    <row r="26" spans="1:2" x14ac:dyDescent="0.35">
      <c r="A26" s="11" t="s">
        <v>23</v>
      </c>
      <c r="B26" s="11">
        <v>69691</v>
      </c>
    </row>
    <row r="27" spans="1:2" s="20" customFormat="1" ht="22" customHeight="1" x14ac:dyDescent="0.35">
      <c r="A27" s="23" t="s">
        <v>130</v>
      </c>
      <c r="B27" s="23">
        <v>70472</v>
      </c>
    </row>
    <row r="28" spans="1:2" x14ac:dyDescent="0.35">
      <c r="A28" s="25" t="s">
        <v>286</v>
      </c>
      <c r="B28" s="26">
        <f>SUM('📈 HISTÓRICO CONSEJOS'!B28:T28)</f>
        <v>71546</v>
      </c>
    </row>
    <row r="29" spans="1:2" x14ac:dyDescent="0.35">
      <c r="A29" s="35">
        <v>46176</v>
      </c>
      <c r="B29" s="26">
        <f>SUM('📈 HISTÓRICO CONSEJOS'!B29:T29)</f>
        <v>72442</v>
      </c>
    </row>
    <row r="30" spans="1:2" x14ac:dyDescent="0.35">
      <c r="A30" s="49" t="s">
        <v>309</v>
      </c>
      <c r="B30" s="24">
        <f>SUM('📈 HISTÓRICO CONSEJOS'!B30:T30)</f>
        <v>73187</v>
      </c>
    </row>
  </sheetData>
  <mergeCells count="1">
    <mergeCell ref="A1:B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30"/>
  <sheetViews>
    <sheetView showGridLines="0" zoomScale="50" zoomScaleNormal="50" workbookViewId="0">
      <pane xSplit="1" ySplit="2" topLeftCell="B18" activePane="bottomRight" state="frozen"/>
      <selection pane="topRight"/>
      <selection pane="bottomLeft"/>
      <selection pane="bottomRight" activeCell="D34" sqref="D34"/>
    </sheetView>
  </sheetViews>
  <sheetFormatPr defaultColWidth="9.1796875" defaultRowHeight="14.5" x14ac:dyDescent="0.35"/>
  <cols>
    <col min="1" max="1" width="16" customWidth="1"/>
    <col min="2" max="20" width="20" customWidth="1"/>
  </cols>
  <sheetData>
    <row r="1" spans="1:20" ht="28" customHeight="1" x14ac:dyDescent="0.35">
      <c r="A1" s="34" t="s">
        <v>128</v>
      </c>
      <c r="B1" s="32"/>
      <c r="C1" s="32"/>
      <c r="D1" s="32"/>
      <c r="E1" s="32"/>
      <c r="F1" s="32"/>
      <c r="G1" s="32"/>
      <c r="H1" s="32"/>
      <c r="I1" s="32"/>
      <c r="J1" s="32"/>
      <c r="K1" s="32"/>
      <c r="L1" s="32"/>
      <c r="M1" s="32"/>
      <c r="N1" s="32"/>
      <c r="O1" s="32"/>
      <c r="P1" s="32"/>
      <c r="Q1" s="32"/>
      <c r="R1" s="32"/>
      <c r="S1" s="32"/>
      <c r="T1" s="32"/>
    </row>
    <row r="2" spans="1:20" ht="39" x14ac:dyDescent="0.35">
      <c r="A2" s="3" t="s">
        <v>129</v>
      </c>
      <c r="B2" s="3" t="s">
        <v>46</v>
      </c>
      <c r="C2" s="3" t="s">
        <v>50</v>
      </c>
      <c r="D2" s="3" t="s">
        <v>52</v>
      </c>
      <c r="E2" s="3" t="s">
        <v>54</v>
      </c>
      <c r="F2" s="3" t="s">
        <v>56</v>
      </c>
      <c r="G2" s="3" t="s">
        <v>58</v>
      </c>
      <c r="H2" s="3" t="s">
        <v>61</v>
      </c>
      <c r="I2" s="3" t="s">
        <v>62</v>
      </c>
      <c r="J2" s="3" t="s">
        <v>65</v>
      </c>
      <c r="K2" s="3" t="s">
        <v>67</v>
      </c>
      <c r="L2" s="3" t="s">
        <v>69</v>
      </c>
      <c r="M2" s="3" t="s">
        <v>73</v>
      </c>
      <c r="N2" s="3" t="s">
        <v>75</v>
      </c>
      <c r="O2" s="3" t="s">
        <v>79</v>
      </c>
      <c r="P2" s="3" t="s">
        <v>80</v>
      </c>
      <c r="Q2" s="3" t="s">
        <v>82</v>
      </c>
      <c r="R2" s="3" t="s">
        <v>85</v>
      </c>
      <c r="S2" s="3" t="s">
        <v>86</v>
      </c>
      <c r="T2" s="3" t="s">
        <v>89</v>
      </c>
    </row>
    <row r="3" spans="1:20" x14ac:dyDescent="0.35">
      <c r="A3" s="9" t="s">
        <v>105</v>
      </c>
      <c r="B3" s="9">
        <v>0</v>
      </c>
      <c r="C3" s="9">
        <v>0</v>
      </c>
      <c r="D3" s="9">
        <v>0</v>
      </c>
      <c r="E3" s="9">
        <v>39</v>
      </c>
      <c r="F3" s="9">
        <v>0</v>
      </c>
      <c r="G3" s="9">
        <v>789</v>
      </c>
      <c r="H3" s="9">
        <v>1175</v>
      </c>
      <c r="I3" s="9">
        <v>2030</v>
      </c>
      <c r="J3" s="9">
        <v>0</v>
      </c>
      <c r="K3" s="9">
        <v>838</v>
      </c>
      <c r="L3" s="9">
        <v>321</v>
      </c>
      <c r="M3" s="9">
        <v>119</v>
      </c>
      <c r="N3" s="9">
        <v>55</v>
      </c>
      <c r="O3" s="9">
        <v>473</v>
      </c>
      <c r="P3" s="9">
        <v>2830</v>
      </c>
      <c r="Q3" s="9">
        <v>15</v>
      </c>
      <c r="R3" s="9">
        <v>0</v>
      </c>
      <c r="S3" s="9">
        <v>53</v>
      </c>
      <c r="T3" s="9">
        <v>6449</v>
      </c>
    </row>
    <row r="4" spans="1:20" x14ac:dyDescent="0.35">
      <c r="A4" s="9" t="s">
        <v>106</v>
      </c>
      <c r="B4" s="9">
        <v>8</v>
      </c>
      <c r="C4" s="9">
        <v>0</v>
      </c>
      <c r="D4" s="9">
        <v>78</v>
      </c>
      <c r="E4" s="9">
        <v>51</v>
      </c>
      <c r="F4" s="9">
        <v>0</v>
      </c>
      <c r="G4" s="9">
        <v>1031</v>
      </c>
      <c r="H4" s="9">
        <v>1253</v>
      </c>
      <c r="I4" s="9">
        <v>2889</v>
      </c>
      <c r="J4" s="9">
        <v>0</v>
      </c>
      <c r="K4" s="9">
        <v>1157</v>
      </c>
      <c r="L4" s="9">
        <v>1753</v>
      </c>
      <c r="M4" s="9">
        <v>240</v>
      </c>
      <c r="N4" s="9">
        <v>94</v>
      </c>
      <c r="O4" s="9">
        <v>3930</v>
      </c>
      <c r="P4" s="9">
        <v>3877</v>
      </c>
      <c r="Q4" s="9">
        <v>96</v>
      </c>
      <c r="R4" s="9">
        <v>0</v>
      </c>
      <c r="S4" s="9">
        <v>79</v>
      </c>
      <c r="T4" s="9">
        <v>9516</v>
      </c>
    </row>
    <row r="5" spans="1:20" x14ac:dyDescent="0.35">
      <c r="A5" s="9" t="s">
        <v>107</v>
      </c>
      <c r="B5" s="9">
        <v>197</v>
      </c>
      <c r="C5" s="9">
        <v>2</v>
      </c>
      <c r="D5" s="9">
        <v>123</v>
      </c>
      <c r="E5" s="9">
        <v>173</v>
      </c>
      <c r="F5" s="9">
        <v>0</v>
      </c>
      <c r="G5" s="9">
        <v>1162</v>
      </c>
      <c r="H5" s="9">
        <v>1273</v>
      </c>
      <c r="I5" s="9">
        <v>3237</v>
      </c>
      <c r="J5" s="9">
        <v>0</v>
      </c>
      <c r="K5" s="9">
        <v>1324</v>
      </c>
      <c r="L5" s="9">
        <v>2681</v>
      </c>
      <c r="M5" s="9">
        <v>250</v>
      </c>
      <c r="N5" s="9">
        <v>136</v>
      </c>
      <c r="O5" s="9">
        <v>6340</v>
      </c>
      <c r="P5" s="9">
        <v>4415</v>
      </c>
      <c r="Q5" s="9">
        <v>1581</v>
      </c>
      <c r="R5" s="9">
        <v>368</v>
      </c>
      <c r="S5" s="9">
        <v>95</v>
      </c>
      <c r="T5" s="9">
        <v>11127</v>
      </c>
    </row>
    <row r="6" spans="1:20" x14ac:dyDescent="0.35">
      <c r="A6" s="9" t="s">
        <v>108</v>
      </c>
      <c r="B6" s="9">
        <v>371</v>
      </c>
      <c r="C6" s="9">
        <v>45</v>
      </c>
      <c r="D6" s="9">
        <v>144</v>
      </c>
      <c r="E6" s="9">
        <v>187</v>
      </c>
      <c r="F6" s="9">
        <v>0</v>
      </c>
      <c r="G6" s="9">
        <v>1237</v>
      </c>
      <c r="H6" s="9">
        <v>1279</v>
      </c>
      <c r="I6" s="9">
        <v>3461</v>
      </c>
      <c r="J6" s="9">
        <v>0</v>
      </c>
      <c r="K6" s="9">
        <v>1496</v>
      </c>
      <c r="L6" s="9">
        <v>2948</v>
      </c>
      <c r="M6" s="9">
        <v>325</v>
      </c>
      <c r="N6" s="9">
        <v>165</v>
      </c>
      <c r="O6" s="9">
        <v>7762</v>
      </c>
      <c r="P6" s="9">
        <v>4793</v>
      </c>
      <c r="Q6" s="9">
        <v>3986</v>
      </c>
      <c r="R6" s="9">
        <v>449</v>
      </c>
      <c r="S6" s="9">
        <v>120</v>
      </c>
      <c r="T6" s="9">
        <v>12247</v>
      </c>
    </row>
    <row r="7" spans="1:20" x14ac:dyDescent="0.35">
      <c r="A7" s="9" t="s">
        <v>109</v>
      </c>
      <c r="B7" s="9">
        <v>518</v>
      </c>
      <c r="C7" s="9">
        <v>81</v>
      </c>
      <c r="D7" s="9">
        <v>157</v>
      </c>
      <c r="E7" s="9">
        <v>203</v>
      </c>
      <c r="F7" s="9">
        <v>0</v>
      </c>
      <c r="G7" s="9">
        <v>1285</v>
      </c>
      <c r="H7" s="9">
        <v>1323</v>
      </c>
      <c r="I7" s="9">
        <v>3584</v>
      </c>
      <c r="J7" s="9">
        <v>0</v>
      </c>
      <c r="K7" s="9">
        <v>1655</v>
      </c>
      <c r="L7" s="9">
        <v>3251</v>
      </c>
      <c r="M7" s="9">
        <v>339</v>
      </c>
      <c r="N7" s="9">
        <v>169</v>
      </c>
      <c r="O7" s="9">
        <v>8672</v>
      </c>
      <c r="P7" s="9">
        <v>5254</v>
      </c>
      <c r="Q7" s="9">
        <v>5370</v>
      </c>
      <c r="R7" s="9">
        <v>461</v>
      </c>
      <c r="S7" s="9">
        <v>138</v>
      </c>
      <c r="T7" s="9">
        <v>13213</v>
      </c>
    </row>
    <row r="8" spans="1:20" x14ac:dyDescent="0.35">
      <c r="A8" s="9" t="s">
        <v>110</v>
      </c>
      <c r="B8" s="9">
        <v>541</v>
      </c>
      <c r="C8" s="9">
        <v>101</v>
      </c>
      <c r="D8" s="9">
        <v>165</v>
      </c>
      <c r="E8" s="9">
        <v>214</v>
      </c>
      <c r="F8" s="9">
        <v>1</v>
      </c>
      <c r="G8" s="9">
        <v>1285</v>
      </c>
      <c r="H8" s="9">
        <v>1338</v>
      </c>
      <c r="I8" s="9">
        <v>3709</v>
      </c>
      <c r="J8" s="9">
        <v>0</v>
      </c>
      <c r="K8" s="9">
        <v>1712</v>
      </c>
      <c r="L8" s="9">
        <v>3435</v>
      </c>
      <c r="M8" s="9">
        <v>349</v>
      </c>
      <c r="N8" s="9">
        <v>171</v>
      </c>
      <c r="O8" s="9">
        <v>9306</v>
      </c>
      <c r="P8" s="9">
        <v>5403</v>
      </c>
      <c r="Q8" s="9">
        <v>6324</v>
      </c>
      <c r="R8" s="9">
        <v>477</v>
      </c>
      <c r="S8" s="9">
        <v>149</v>
      </c>
      <c r="T8" s="9">
        <v>14516</v>
      </c>
    </row>
    <row r="9" spans="1:20" x14ac:dyDescent="0.35">
      <c r="A9" s="9" t="s">
        <v>111</v>
      </c>
      <c r="B9" s="9">
        <v>556</v>
      </c>
      <c r="C9" s="9">
        <v>107</v>
      </c>
      <c r="D9" s="9">
        <v>172</v>
      </c>
      <c r="E9" s="9">
        <v>226</v>
      </c>
      <c r="F9" s="9">
        <v>3</v>
      </c>
      <c r="G9" s="9">
        <v>1350</v>
      </c>
      <c r="H9" s="9">
        <v>1343</v>
      </c>
      <c r="I9" s="9">
        <v>3926</v>
      </c>
      <c r="J9" s="9">
        <v>0</v>
      </c>
      <c r="K9" s="9">
        <v>1808</v>
      </c>
      <c r="L9" s="9">
        <v>3590</v>
      </c>
      <c r="M9" s="9">
        <v>352</v>
      </c>
      <c r="N9" s="9">
        <v>172</v>
      </c>
      <c r="O9" s="9">
        <v>10247</v>
      </c>
      <c r="P9" s="9">
        <v>5695</v>
      </c>
      <c r="Q9" s="9">
        <v>6875</v>
      </c>
      <c r="R9" s="9">
        <v>483</v>
      </c>
      <c r="S9" s="9">
        <v>159</v>
      </c>
      <c r="T9" s="9">
        <v>15059</v>
      </c>
    </row>
    <row r="10" spans="1:20" x14ac:dyDescent="0.35">
      <c r="A10" s="9" t="s">
        <v>112</v>
      </c>
      <c r="B10" s="9">
        <v>583</v>
      </c>
      <c r="C10" s="9">
        <v>110</v>
      </c>
      <c r="D10" s="9">
        <v>193</v>
      </c>
      <c r="E10" s="9">
        <v>226</v>
      </c>
      <c r="F10" s="9">
        <v>12</v>
      </c>
      <c r="G10" s="9">
        <v>1394</v>
      </c>
      <c r="H10" s="9">
        <v>1349</v>
      </c>
      <c r="I10" s="9">
        <v>4023</v>
      </c>
      <c r="J10" s="9">
        <v>0</v>
      </c>
      <c r="K10" s="9">
        <v>1867</v>
      </c>
      <c r="L10" s="9">
        <v>3684</v>
      </c>
      <c r="M10" s="9">
        <v>358</v>
      </c>
      <c r="N10" s="9">
        <v>179</v>
      </c>
      <c r="O10" s="9">
        <v>11401</v>
      </c>
      <c r="P10" s="9">
        <v>5869</v>
      </c>
      <c r="Q10" s="9">
        <v>7319</v>
      </c>
      <c r="R10" s="9">
        <v>498</v>
      </c>
      <c r="S10" s="9">
        <v>171</v>
      </c>
      <c r="T10" s="9">
        <v>15620</v>
      </c>
    </row>
    <row r="11" spans="1:20" x14ac:dyDescent="0.35">
      <c r="A11" s="9" t="s">
        <v>113</v>
      </c>
      <c r="B11" s="9">
        <v>604</v>
      </c>
      <c r="C11" s="9">
        <v>116</v>
      </c>
      <c r="D11" s="9">
        <v>201</v>
      </c>
      <c r="E11" s="9">
        <v>252</v>
      </c>
      <c r="F11" s="9">
        <v>24</v>
      </c>
      <c r="G11" s="9">
        <v>1441</v>
      </c>
      <c r="H11" s="9">
        <v>1358</v>
      </c>
      <c r="I11" s="9">
        <v>4078</v>
      </c>
      <c r="J11" s="9">
        <v>0</v>
      </c>
      <c r="K11" s="9">
        <v>1922</v>
      </c>
      <c r="L11" s="9">
        <v>3778</v>
      </c>
      <c r="M11" s="9">
        <v>361</v>
      </c>
      <c r="N11" s="9">
        <v>181</v>
      </c>
      <c r="O11" s="9">
        <v>12054</v>
      </c>
      <c r="P11" s="9">
        <v>6036</v>
      </c>
      <c r="Q11" s="9">
        <v>7820</v>
      </c>
      <c r="R11" s="9">
        <v>500</v>
      </c>
      <c r="S11" s="9">
        <v>189</v>
      </c>
      <c r="T11" s="9">
        <v>16139</v>
      </c>
    </row>
    <row r="12" spans="1:20" x14ac:dyDescent="0.35">
      <c r="A12" s="9" t="s">
        <v>114</v>
      </c>
      <c r="B12" s="9">
        <v>614</v>
      </c>
      <c r="C12" s="9">
        <v>121</v>
      </c>
      <c r="D12" s="9">
        <v>203</v>
      </c>
      <c r="E12" s="9">
        <v>259</v>
      </c>
      <c r="F12" s="9">
        <v>44</v>
      </c>
      <c r="G12" s="9">
        <v>1465</v>
      </c>
      <c r="H12" s="9">
        <v>1359</v>
      </c>
      <c r="I12" s="9">
        <v>4116</v>
      </c>
      <c r="J12" s="9">
        <v>0</v>
      </c>
      <c r="K12" s="9">
        <v>2083</v>
      </c>
      <c r="L12" s="9">
        <v>3873</v>
      </c>
      <c r="M12" s="9">
        <v>365</v>
      </c>
      <c r="N12" s="9">
        <v>182</v>
      </c>
      <c r="O12" s="9">
        <v>12541</v>
      </c>
      <c r="P12" s="9">
        <v>6136</v>
      </c>
      <c r="Q12" s="9">
        <v>8138</v>
      </c>
      <c r="R12" s="9">
        <v>500</v>
      </c>
      <c r="S12" s="9">
        <v>206</v>
      </c>
      <c r="T12" s="9">
        <v>16415</v>
      </c>
    </row>
    <row r="13" spans="1:20" x14ac:dyDescent="0.35">
      <c r="A13" s="9" t="s">
        <v>115</v>
      </c>
      <c r="B13" s="9">
        <v>681</v>
      </c>
      <c r="C13" s="9">
        <v>126</v>
      </c>
      <c r="D13" s="9">
        <v>218</v>
      </c>
      <c r="E13" s="9">
        <v>275</v>
      </c>
      <c r="F13" s="9">
        <v>55</v>
      </c>
      <c r="G13" s="9">
        <v>1497</v>
      </c>
      <c r="H13" s="9">
        <v>1361</v>
      </c>
      <c r="I13" s="9">
        <v>4150</v>
      </c>
      <c r="J13" s="9">
        <v>0</v>
      </c>
      <c r="K13" s="9">
        <v>2183</v>
      </c>
      <c r="L13" s="9">
        <v>3967</v>
      </c>
      <c r="M13" s="9">
        <v>389</v>
      </c>
      <c r="N13" s="9">
        <v>183</v>
      </c>
      <c r="O13" s="9">
        <v>12890</v>
      </c>
      <c r="P13" s="9">
        <v>6307</v>
      </c>
      <c r="Q13" s="9">
        <v>8351</v>
      </c>
      <c r="R13" s="9">
        <v>500</v>
      </c>
      <c r="S13" s="9">
        <v>210</v>
      </c>
      <c r="T13" s="9">
        <v>16693</v>
      </c>
    </row>
    <row r="14" spans="1:20" x14ac:dyDescent="0.35">
      <c r="A14" s="9" t="s">
        <v>116</v>
      </c>
      <c r="B14" s="9">
        <v>715</v>
      </c>
      <c r="C14" s="9">
        <v>142</v>
      </c>
      <c r="D14" s="9">
        <v>286</v>
      </c>
      <c r="E14" s="9">
        <v>285</v>
      </c>
      <c r="F14" s="9">
        <v>60</v>
      </c>
      <c r="G14" s="9">
        <v>1545</v>
      </c>
      <c r="H14" s="9">
        <v>1364</v>
      </c>
      <c r="I14" s="9">
        <v>4191</v>
      </c>
      <c r="J14" s="9">
        <v>0</v>
      </c>
      <c r="K14" s="9">
        <v>2247</v>
      </c>
      <c r="L14" s="9">
        <v>4072</v>
      </c>
      <c r="M14" s="9">
        <v>394</v>
      </c>
      <c r="N14" s="9">
        <v>183</v>
      </c>
      <c r="O14" s="9">
        <v>13141</v>
      </c>
      <c r="P14" s="9">
        <v>6444</v>
      </c>
      <c r="Q14" s="9">
        <v>8450</v>
      </c>
      <c r="R14" s="9">
        <v>500</v>
      </c>
      <c r="S14" s="9">
        <v>222</v>
      </c>
      <c r="T14" s="9">
        <v>17177</v>
      </c>
    </row>
    <row r="15" spans="1:20" x14ac:dyDescent="0.35">
      <c r="A15" s="9" t="s">
        <v>117</v>
      </c>
      <c r="B15" s="9">
        <v>722</v>
      </c>
      <c r="C15" s="9">
        <v>149</v>
      </c>
      <c r="D15" s="9">
        <v>299</v>
      </c>
      <c r="E15" s="9">
        <v>288</v>
      </c>
      <c r="F15" s="9">
        <v>61</v>
      </c>
      <c r="G15" s="9">
        <v>1571</v>
      </c>
      <c r="H15" s="9">
        <v>1364</v>
      </c>
      <c r="I15" s="9">
        <v>4229</v>
      </c>
      <c r="J15" s="9">
        <v>0</v>
      </c>
      <c r="K15" s="9">
        <v>2275</v>
      </c>
      <c r="L15" s="9">
        <v>4096</v>
      </c>
      <c r="M15" s="9">
        <v>398</v>
      </c>
      <c r="N15" s="9">
        <v>183</v>
      </c>
      <c r="O15" s="9">
        <v>13255</v>
      </c>
      <c r="P15" s="9">
        <v>6575</v>
      </c>
      <c r="Q15" s="9">
        <v>8487</v>
      </c>
      <c r="R15" s="9">
        <v>500</v>
      </c>
      <c r="S15" s="9">
        <v>227</v>
      </c>
      <c r="T15" s="9">
        <v>17480</v>
      </c>
    </row>
    <row r="16" spans="1:20" x14ac:dyDescent="0.35">
      <c r="A16" s="9" t="s">
        <v>118</v>
      </c>
      <c r="B16" s="9">
        <v>727</v>
      </c>
      <c r="C16" s="9">
        <v>153</v>
      </c>
      <c r="D16" s="9">
        <v>301</v>
      </c>
      <c r="E16" s="9">
        <v>288</v>
      </c>
      <c r="F16" s="9">
        <v>61</v>
      </c>
      <c r="G16" s="9">
        <v>1631</v>
      </c>
      <c r="H16" s="9">
        <v>1365</v>
      </c>
      <c r="I16" s="9">
        <v>4253</v>
      </c>
      <c r="J16" s="9">
        <v>0</v>
      </c>
      <c r="K16" s="9">
        <v>2316</v>
      </c>
      <c r="L16" s="9">
        <v>4107</v>
      </c>
      <c r="M16" s="9">
        <v>401</v>
      </c>
      <c r="N16" s="9">
        <v>183</v>
      </c>
      <c r="O16" s="9">
        <v>13433</v>
      </c>
      <c r="P16" s="9">
        <v>6680</v>
      </c>
      <c r="Q16" s="9">
        <v>8583</v>
      </c>
      <c r="R16" s="9">
        <v>500</v>
      </c>
      <c r="S16" s="9">
        <v>230</v>
      </c>
      <c r="T16" s="9">
        <v>17782</v>
      </c>
    </row>
    <row r="17" spans="1:20" x14ac:dyDescent="0.35">
      <c r="A17" s="9" t="s">
        <v>119</v>
      </c>
      <c r="B17" s="9">
        <v>729</v>
      </c>
      <c r="C17" s="9">
        <v>156</v>
      </c>
      <c r="D17" s="9">
        <v>311</v>
      </c>
      <c r="E17" s="9">
        <v>291</v>
      </c>
      <c r="F17" s="9">
        <v>76</v>
      </c>
      <c r="G17" s="9">
        <v>1680</v>
      </c>
      <c r="H17" s="9">
        <v>1367</v>
      </c>
      <c r="I17" s="9">
        <v>4253</v>
      </c>
      <c r="J17" s="9">
        <v>0</v>
      </c>
      <c r="K17" s="9">
        <v>2349</v>
      </c>
      <c r="L17" s="9">
        <v>4107</v>
      </c>
      <c r="M17" s="9">
        <v>401</v>
      </c>
      <c r="N17" s="9">
        <v>183</v>
      </c>
      <c r="O17" s="9">
        <v>13659</v>
      </c>
      <c r="P17" s="9">
        <v>6741</v>
      </c>
      <c r="Q17" s="9">
        <v>8631</v>
      </c>
      <c r="R17" s="9">
        <v>500</v>
      </c>
      <c r="S17" s="9">
        <v>234</v>
      </c>
      <c r="T17" s="9">
        <v>18949</v>
      </c>
    </row>
    <row r="18" spans="1:20" x14ac:dyDescent="0.35">
      <c r="A18" s="9" t="s">
        <v>120</v>
      </c>
      <c r="B18" s="9">
        <v>729</v>
      </c>
      <c r="C18" s="9">
        <v>159</v>
      </c>
      <c r="D18" s="9">
        <v>318</v>
      </c>
      <c r="E18" s="9">
        <v>292</v>
      </c>
      <c r="F18" s="9">
        <v>98</v>
      </c>
      <c r="G18" s="9">
        <v>1693</v>
      </c>
      <c r="H18" s="9">
        <v>1366</v>
      </c>
      <c r="I18" s="9">
        <v>4297</v>
      </c>
      <c r="J18" s="9">
        <v>0</v>
      </c>
      <c r="K18" s="9">
        <v>2402</v>
      </c>
      <c r="L18" s="9">
        <v>4126</v>
      </c>
      <c r="M18" s="9">
        <v>405</v>
      </c>
      <c r="N18" s="9">
        <v>184</v>
      </c>
      <c r="O18" s="9">
        <v>13725</v>
      </c>
      <c r="P18" s="9">
        <v>6772</v>
      </c>
      <c r="Q18" s="9">
        <v>8609</v>
      </c>
      <c r="R18" s="9">
        <v>500</v>
      </c>
      <c r="S18" s="9">
        <v>241</v>
      </c>
      <c r="T18" s="9">
        <v>19320</v>
      </c>
    </row>
    <row r="19" spans="1:20" x14ac:dyDescent="0.35">
      <c r="A19" s="9" t="s">
        <v>121</v>
      </c>
      <c r="B19" s="9">
        <v>735</v>
      </c>
      <c r="C19" s="9">
        <v>166</v>
      </c>
      <c r="D19" s="9">
        <v>322</v>
      </c>
      <c r="E19" s="9">
        <v>292</v>
      </c>
      <c r="F19" s="9">
        <v>102</v>
      </c>
      <c r="G19" s="9">
        <v>1714</v>
      </c>
      <c r="H19" s="9">
        <v>1364</v>
      </c>
      <c r="I19" s="9">
        <v>4330</v>
      </c>
      <c r="J19" s="9">
        <v>0</v>
      </c>
      <c r="K19" s="9">
        <v>2463</v>
      </c>
      <c r="L19" s="9">
        <v>4124</v>
      </c>
      <c r="M19" s="9">
        <v>407</v>
      </c>
      <c r="N19" s="9">
        <v>192</v>
      </c>
      <c r="O19" s="9">
        <v>13809</v>
      </c>
      <c r="P19" s="9">
        <v>6805</v>
      </c>
      <c r="Q19" s="9">
        <v>8781</v>
      </c>
      <c r="R19" s="9">
        <v>500</v>
      </c>
      <c r="S19" s="9">
        <v>243</v>
      </c>
      <c r="T19" s="9">
        <v>19439</v>
      </c>
    </row>
    <row r="20" spans="1:20" x14ac:dyDescent="0.35">
      <c r="A20" s="9" t="s">
        <v>122</v>
      </c>
      <c r="B20" s="9">
        <v>732</v>
      </c>
      <c r="C20" s="9">
        <v>167</v>
      </c>
      <c r="D20" s="9">
        <v>327</v>
      </c>
      <c r="E20" s="9">
        <v>293</v>
      </c>
      <c r="F20" s="9">
        <v>115</v>
      </c>
      <c r="G20" s="9">
        <v>1730</v>
      </c>
      <c r="H20" s="9">
        <v>1364</v>
      </c>
      <c r="I20" s="9">
        <v>4381</v>
      </c>
      <c r="J20" s="9">
        <v>0</v>
      </c>
      <c r="K20" s="9">
        <v>2506</v>
      </c>
      <c r="L20" s="9">
        <v>4167</v>
      </c>
      <c r="M20" s="9">
        <v>408</v>
      </c>
      <c r="N20" s="9">
        <v>204</v>
      </c>
      <c r="O20" s="9">
        <v>13861</v>
      </c>
      <c r="P20" s="9">
        <v>6843</v>
      </c>
      <c r="Q20" s="9">
        <v>8797</v>
      </c>
      <c r="R20" s="9">
        <v>500</v>
      </c>
      <c r="S20" s="9">
        <v>255</v>
      </c>
      <c r="T20" s="9">
        <v>19629</v>
      </c>
    </row>
    <row r="21" spans="1:20" x14ac:dyDescent="0.35">
      <c r="A21" s="9" t="s">
        <v>123</v>
      </c>
      <c r="B21" s="9">
        <v>734</v>
      </c>
      <c r="C21" s="9">
        <v>167</v>
      </c>
      <c r="D21" s="9">
        <v>330</v>
      </c>
      <c r="E21" s="9">
        <v>292</v>
      </c>
      <c r="F21" s="9">
        <v>121</v>
      </c>
      <c r="G21" s="9">
        <v>1752</v>
      </c>
      <c r="H21" s="9">
        <v>1360</v>
      </c>
      <c r="I21" s="9">
        <v>4434</v>
      </c>
      <c r="J21" s="9">
        <v>0</v>
      </c>
      <c r="K21" s="9">
        <v>2537</v>
      </c>
      <c r="L21" s="9">
        <v>4167</v>
      </c>
      <c r="M21" s="9">
        <v>408</v>
      </c>
      <c r="N21" s="9">
        <v>207</v>
      </c>
      <c r="O21" s="9">
        <v>14119</v>
      </c>
      <c r="P21" s="9">
        <v>6881</v>
      </c>
      <c r="Q21" s="9">
        <v>8934</v>
      </c>
      <c r="R21" s="9">
        <v>500</v>
      </c>
      <c r="S21" s="9">
        <v>257</v>
      </c>
      <c r="T21" s="9">
        <v>19696</v>
      </c>
    </row>
    <row r="22" spans="1:20" x14ac:dyDescent="0.35">
      <c r="A22" s="9" t="s">
        <v>124</v>
      </c>
      <c r="B22" s="9">
        <v>733</v>
      </c>
      <c r="C22" s="9">
        <v>212</v>
      </c>
      <c r="D22" s="9">
        <v>336</v>
      </c>
      <c r="E22" s="9">
        <v>285</v>
      </c>
      <c r="F22" s="9">
        <v>127</v>
      </c>
      <c r="G22" s="9">
        <v>1770</v>
      </c>
      <c r="H22" s="9">
        <v>1365</v>
      </c>
      <c r="I22" s="9">
        <v>4433</v>
      </c>
      <c r="J22" s="9">
        <v>0</v>
      </c>
      <c r="K22" s="9">
        <v>2627</v>
      </c>
      <c r="L22" s="9">
        <v>4241</v>
      </c>
      <c r="M22" s="9">
        <v>408</v>
      </c>
      <c r="N22" s="9">
        <v>212</v>
      </c>
      <c r="O22" s="9">
        <v>14250</v>
      </c>
      <c r="P22" s="9">
        <v>6909</v>
      </c>
      <c r="Q22" s="9">
        <v>8913</v>
      </c>
      <c r="R22" s="9">
        <v>500</v>
      </c>
      <c r="S22" s="9">
        <v>257</v>
      </c>
      <c r="T22" s="9">
        <v>20080</v>
      </c>
    </row>
    <row r="23" spans="1:20" x14ac:dyDescent="0.35">
      <c r="A23" s="9" t="s">
        <v>125</v>
      </c>
      <c r="B23" s="9">
        <v>733</v>
      </c>
      <c r="C23" s="9">
        <v>209</v>
      </c>
      <c r="D23" s="9">
        <v>340</v>
      </c>
      <c r="E23" s="9">
        <v>286</v>
      </c>
      <c r="F23" s="9">
        <v>131</v>
      </c>
      <c r="G23" s="9">
        <v>1781</v>
      </c>
      <c r="H23" s="9">
        <v>1366</v>
      </c>
      <c r="I23" s="9">
        <v>4425</v>
      </c>
      <c r="J23" s="9">
        <v>0</v>
      </c>
      <c r="K23" s="9">
        <v>2656</v>
      </c>
      <c r="L23" s="9">
        <v>4242</v>
      </c>
      <c r="M23" s="9">
        <v>408</v>
      </c>
      <c r="N23" s="9">
        <v>224</v>
      </c>
      <c r="O23" s="9">
        <v>14329</v>
      </c>
      <c r="P23" s="9">
        <v>6932</v>
      </c>
      <c r="Q23" s="9">
        <v>8932</v>
      </c>
      <c r="R23" s="9">
        <v>500</v>
      </c>
      <c r="S23" s="9">
        <v>261</v>
      </c>
      <c r="T23" s="9">
        <v>20211</v>
      </c>
    </row>
    <row r="24" spans="1:20" x14ac:dyDescent="0.35">
      <c r="A24" s="9" t="s">
        <v>126</v>
      </c>
      <c r="B24" s="9">
        <v>732</v>
      </c>
      <c r="C24" s="9">
        <v>221</v>
      </c>
      <c r="D24" s="9">
        <v>348</v>
      </c>
      <c r="E24" s="9">
        <v>285</v>
      </c>
      <c r="F24" s="9">
        <v>170</v>
      </c>
      <c r="G24" s="9">
        <v>1792</v>
      </c>
      <c r="H24" s="9">
        <v>1381</v>
      </c>
      <c r="I24" s="9">
        <v>4470</v>
      </c>
      <c r="J24" s="9">
        <v>0</v>
      </c>
      <c r="K24" s="9">
        <v>2714</v>
      </c>
      <c r="L24" s="9">
        <v>4272</v>
      </c>
      <c r="M24" s="9">
        <v>410</v>
      </c>
      <c r="N24" s="9">
        <v>230</v>
      </c>
      <c r="O24" s="9">
        <v>14408</v>
      </c>
      <c r="P24" s="9">
        <v>6957</v>
      </c>
      <c r="Q24" s="9">
        <v>9107</v>
      </c>
      <c r="R24" s="9">
        <v>499</v>
      </c>
      <c r="S24" s="9">
        <v>263</v>
      </c>
      <c r="T24" s="9">
        <v>20704</v>
      </c>
    </row>
    <row r="25" spans="1:20" x14ac:dyDescent="0.35">
      <c r="A25" s="9" t="s">
        <v>127</v>
      </c>
      <c r="B25" s="9">
        <v>732</v>
      </c>
      <c r="C25" s="9">
        <v>226</v>
      </c>
      <c r="D25" s="9">
        <v>347</v>
      </c>
      <c r="E25" s="9">
        <v>285</v>
      </c>
      <c r="F25" s="9">
        <v>175</v>
      </c>
      <c r="G25" s="9">
        <v>1802</v>
      </c>
      <c r="H25" s="9">
        <v>1379</v>
      </c>
      <c r="I25" s="9">
        <v>4452</v>
      </c>
      <c r="J25" s="9">
        <v>0</v>
      </c>
      <c r="K25" s="9">
        <v>2733</v>
      </c>
      <c r="L25" s="9">
        <v>4284</v>
      </c>
      <c r="M25" s="9">
        <v>410</v>
      </c>
      <c r="N25" s="9">
        <v>238</v>
      </c>
      <c r="O25" s="9">
        <v>14498</v>
      </c>
      <c r="P25" s="9">
        <v>6969</v>
      </c>
      <c r="Q25" s="9">
        <v>9124</v>
      </c>
      <c r="R25" s="9">
        <v>499</v>
      </c>
      <c r="S25" s="9">
        <v>267</v>
      </c>
      <c r="T25" s="9">
        <v>20836</v>
      </c>
    </row>
    <row r="26" spans="1:20" s="20" customFormat="1" x14ac:dyDescent="0.35">
      <c r="A26" s="11" t="s">
        <v>23</v>
      </c>
      <c r="B26" s="11">
        <v>731</v>
      </c>
      <c r="C26" s="11">
        <v>231</v>
      </c>
      <c r="D26" s="11">
        <v>349</v>
      </c>
      <c r="E26" s="11">
        <v>286</v>
      </c>
      <c r="F26" s="11">
        <v>177</v>
      </c>
      <c r="G26" s="11">
        <v>1817</v>
      </c>
      <c r="H26" s="11">
        <v>1380</v>
      </c>
      <c r="I26" s="11">
        <v>4495</v>
      </c>
      <c r="J26" s="11">
        <v>0</v>
      </c>
      <c r="K26" s="11">
        <v>2814</v>
      </c>
      <c r="L26" s="11">
        <v>4307</v>
      </c>
      <c r="M26" s="11">
        <v>413</v>
      </c>
      <c r="N26" s="11">
        <v>238</v>
      </c>
      <c r="O26" s="11">
        <v>14493</v>
      </c>
      <c r="P26" s="11">
        <v>7001</v>
      </c>
      <c r="Q26" s="11">
        <v>9110</v>
      </c>
      <c r="R26" s="11">
        <v>499</v>
      </c>
      <c r="S26" s="11">
        <v>283</v>
      </c>
      <c r="T26" s="11">
        <v>21067</v>
      </c>
    </row>
    <row r="27" spans="1:20" s="20" customFormat="1" x14ac:dyDescent="0.35">
      <c r="A27" s="22" t="s">
        <v>130</v>
      </c>
      <c r="B27" s="11">
        <v>727</v>
      </c>
      <c r="C27" s="11">
        <v>230</v>
      </c>
      <c r="D27" s="11">
        <v>352</v>
      </c>
      <c r="E27" s="11">
        <v>286</v>
      </c>
      <c r="F27" s="11">
        <v>206</v>
      </c>
      <c r="G27" s="11">
        <v>1838</v>
      </c>
      <c r="H27" s="11">
        <v>1387</v>
      </c>
      <c r="I27" s="11">
        <v>4503</v>
      </c>
      <c r="J27" s="11">
        <v>0</v>
      </c>
      <c r="K27" s="11">
        <v>2861</v>
      </c>
      <c r="L27" s="11">
        <v>4309</v>
      </c>
      <c r="M27" s="11">
        <v>416</v>
      </c>
      <c r="N27" s="11">
        <v>244</v>
      </c>
      <c r="O27" s="11">
        <v>14542</v>
      </c>
      <c r="P27" s="11">
        <v>7057</v>
      </c>
      <c r="Q27" s="11">
        <v>9075</v>
      </c>
      <c r="R27" s="11">
        <v>499</v>
      </c>
      <c r="S27" s="11">
        <v>295</v>
      </c>
      <c r="T27" s="11">
        <v>21645</v>
      </c>
    </row>
    <row r="28" spans="1:20" s="20" customFormat="1" x14ac:dyDescent="0.35">
      <c r="A28" s="22" t="s">
        <v>286</v>
      </c>
      <c r="B28" s="11">
        <v>726</v>
      </c>
      <c r="C28" s="11">
        <v>231</v>
      </c>
      <c r="D28" s="11">
        <v>370</v>
      </c>
      <c r="E28" s="11">
        <v>286</v>
      </c>
      <c r="F28" s="11">
        <v>233</v>
      </c>
      <c r="G28" s="11">
        <v>1873</v>
      </c>
      <c r="H28" s="11">
        <v>1381</v>
      </c>
      <c r="I28" s="11">
        <v>4552</v>
      </c>
      <c r="J28" s="11">
        <v>0</v>
      </c>
      <c r="K28" s="11">
        <v>2941</v>
      </c>
      <c r="L28" s="11">
        <v>4330</v>
      </c>
      <c r="M28" s="11">
        <v>417</v>
      </c>
      <c r="N28" s="11">
        <v>249</v>
      </c>
      <c r="O28" s="11">
        <v>14754</v>
      </c>
      <c r="P28" s="11">
        <v>7119</v>
      </c>
      <c r="Q28" s="11">
        <v>9101</v>
      </c>
      <c r="R28" s="11">
        <v>499</v>
      </c>
      <c r="S28" s="11">
        <v>303</v>
      </c>
      <c r="T28" s="11">
        <v>22181</v>
      </c>
    </row>
    <row r="29" spans="1:20" s="20" customFormat="1" x14ac:dyDescent="0.35">
      <c r="A29" s="22">
        <v>46176</v>
      </c>
      <c r="B29" s="11">
        <v>726</v>
      </c>
      <c r="C29" s="11">
        <v>232</v>
      </c>
      <c r="D29" s="11">
        <v>398</v>
      </c>
      <c r="E29" s="11">
        <v>286</v>
      </c>
      <c r="F29" s="11">
        <v>234</v>
      </c>
      <c r="G29" s="11">
        <v>1924</v>
      </c>
      <c r="H29" s="11">
        <v>1374</v>
      </c>
      <c r="I29" s="11">
        <v>4593</v>
      </c>
      <c r="J29" s="11">
        <v>0</v>
      </c>
      <c r="K29" s="11">
        <v>3014</v>
      </c>
      <c r="L29" s="11">
        <v>4344</v>
      </c>
      <c r="M29" s="11">
        <v>418</v>
      </c>
      <c r="N29" s="11">
        <v>297</v>
      </c>
      <c r="O29" s="11">
        <v>14942</v>
      </c>
      <c r="P29" s="11">
        <v>7220</v>
      </c>
      <c r="Q29" s="11">
        <v>9169</v>
      </c>
      <c r="R29" s="11">
        <v>499</v>
      </c>
      <c r="S29" s="11">
        <v>305</v>
      </c>
      <c r="T29" s="11">
        <v>22467</v>
      </c>
    </row>
    <row r="30" spans="1:20" x14ac:dyDescent="0.35">
      <c r="A30" s="48" t="s">
        <v>309</v>
      </c>
      <c r="B30" s="5">
        <v>725</v>
      </c>
      <c r="C30" s="5">
        <v>232</v>
      </c>
      <c r="D30" s="13">
        <v>425</v>
      </c>
      <c r="E30" s="5">
        <v>283</v>
      </c>
      <c r="F30" s="5">
        <v>232</v>
      </c>
      <c r="G30" s="5">
        <v>1953</v>
      </c>
      <c r="H30" s="5">
        <v>1380</v>
      </c>
      <c r="I30" s="5">
        <v>4612</v>
      </c>
      <c r="J30" s="5">
        <v>0</v>
      </c>
      <c r="K30" s="5">
        <v>3041</v>
      </c>
      <c r="L30" s="5">
        <v>4345</v>
      </c>
      <c r="M30" s="5">
        <v>422</v>
      </c>
      <c r="N30" s="5">
        <v>301</v>
      </c>
      <c r="O30" s="5">
        <v>14998</v>
      </c>
      <c r="P30" s="5">
        <v>7305</v>
      </c>
      <c r="Q30" s="5">
        <v>9232</v>
      </c>
      <c r="R30" s="5">
        <v>499</v>
      </c>
      <c r="S30" s="5">
        <v>309</v>
      </c>
      <c r="T30" s="5">
        <v>22893</v>
      </c>
    </row>
  </sheetData>
  <mergeCells count="1">
    <mergeCell ref="A1:T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B13382C6D4C5F41B5E75ADC284911F8" ma:contentTypeVersion="17" ma:contentTypeDescription="Crear nuevo documento." ma:contentTypeScope="" ma:versionID="a485729c1bf1e84c8b68b39ecc58eceb">
  <xsd:schema xmlns:xsd="http://www.w3.org/2001/XMLSchema" xmlns:xs="http://www.w3.org/2001/XMLSchema" xmlns:p="http://schemas.microsoft.com/office/2006/metadata/properties" xmlns:ns2="95beb0c8-33db-4e62-adbb-61eb6f2f3069" xmlns:ns3="c1df5fcc-e07d-4e3e-b0b3-8e6e289e978c" targetNamespace="http://schemas.microsoft.com/office/2006/metadata/properties" ma:root="true" ma:fieldsID="2de4df1b951502b8d9db27f24477b833" ns2:_="" ns3:_="">
    <xsd:import namespace="95beb0c8-33db-4e62-adbb-61eb6f2f3069"/>
    <xsd:import namespace="c1df5fcc-e07d-4e3e-b0b3-8e6e289e978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2:MediaServiceBillingMetadata" minOccurs="0"/>
                <xsd:element ref="ns2:Ficha" minOccurs="0"/>
                <xsd:element ref="ns2:KickOff" minOccurs="0"/>
                <xsd:element ref="ns2:ConvDise_x00f1_o" minOccurs="0"/>
                <xsd:element ref="ns2:Dependencia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beb0c8-33db-4e62-adbb-61eb6f2f30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85e823d-31db-440c-980d-283f89df7c2e"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Ficha" ma:index="20" nillable="true" ma:displayName="Ficha" ma:default="0" ma:format="Dropdown" ma:internalName="Ficha">
      <xsd:simpleType>
        <xsd:restriction base="dms:Boolean"/>
      </xsd:simpleType>
    </xsd:element>
    <xsd:element name="KickOff" ma:index="21" nillable="true" ma:displayName="Kick Off" ma:default="1" ma:format="Dropdown" ma:internalName="KickOff">
      <xsd:simpleType>
        <xsd:restriction base="dms:Boolean"/>
      </xsd:simpleType>
    </xsd:element>
    <xsd:element name="ConvDise_x00f1_o" ma:index="22" nillable="true" ma:displayName="Conv Diseño" ma:default="1" ma:format="Dropdown" ma:internalName="ConvDise_x00f1_o">
      <xsd:simpleType>
        <xsd:restriction base="dms:Boolean"/>
      </xsd:simpleType>
    </xsd:element>
    <xsd:element name="Dependencias" ma:index="23" nillable="true" ma:displayName="Dependencias" ma:default="1" ma:format="Dropdown" ma:internalName="Dependencias">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c1df5fcc-e07d-4e3e-b0b3-8e6e289e978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35ab244-b3af-412b-b0f1-2dc984095fea}" ma:internalName="TaxCatchAll" ma:showField="CatchAllData" ma:web="c1df5fcc-e07d-4e3e-b0b3-8e6e289e97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Ficha xmlns="95beb0c8-33db-4e62-adbb-61eb6f2f3069">false</Ficha>
    <Dependencias xmlns="95beb0c8-33db-4e62-adbb-61eb6f2f3069">true</Dependencias>
    <KickOff xmlns="95beb0c8-33db-4e62-adbb-61eb6f2f3069">true</KickOff>
    <lcf76f155ced4ddcb4097134ff3c332f xmlns="95beb0c8-33db-4e62-adbb-61eb6f2f3069">
      <Terms xmlns="http://schemas.microsoft.com/office/infopath/2007/PartnerControls"/>
    </lcf76f155ced4ddcb4097134ff3c332f>
    <TaxCatchAll xmlns="c1df5fcc-e07d-4e3e-b0b3-8e6e289e978c" xsi:nil="true"/>
    <ConvDise_x00f1_o xmlns="95beb0c8-33db-4e62-adbb-61eb6f2f3069">true</ConvDise_x00f1_o>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3488061-1C56-41B4-B56D-4AA434C5C0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beb0c8-33db-4e62-adbb-61eb6f2f3069"/>
    <ds:schemaRef ds:uri="c1df5fcc-e07d-4e3e-b0b3-8e6e289e97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FC13C86-F391-4629-80D4-9DFEC2B7673D}">
  <ds:schemaRefs>
    <ds:schemaRef ds:uri="http://www.w3.org/XML/1998/namespace"/>
    <ds:schemaRef ds:uri="c1df5fcc-e07d-4e3e-b0b3-8e6e289e978c"/>
    <ds:schemaRef ds:uri="95beb0c8-33db-4e62-adbb-61eb6f2f3069"/>
    <ds:schemaRef ds:uri="http://schemas.openxmlformats.org/package/2006/metadata/core-properties"/>
    <ds:schemaRef ds:uri="http://schemas.microsoft.com/office/2006/documentManagement/types"/>
    <ds:schemaRef ds:uri="http://purl.org/dc/terms/"/>
    <ds:schemaRef ds:uri="http://schemas.microsoft.com/office/infopath/2007/PartnerControls"/>
    <ds:schemaRef ds:uri="http://schemas.microsoft.com/office/2006/metadata/properties"/>
    <ds:schemaRef ds:uri="http://purl.org/dc/dcmitype/"/>
    <ds:schemaRef ds:uri="http://purl.org/dc/elements/1.1/"/>
  </ds:schemaRefs>
</ds:datastoreItem>
</file>

<file path=customXml/itemProps3.xml><?xml version="1.0" encoding="utf-8"?>
<ds:datastoreItem xmlns:ds="http://schemas.openxmlformats.org/officeDocument/2006/customXml" ds:itemID="{7043089F-A866-41CE-8953-20BD1E27029A}">
  <ds:schemaRefs>
    <ds:schemaRef ds:uri="http://schemas.microsoft.com/sharepoint/v3/contenttype/forms"/>
  </ds:schemaRefs>
</ds:datastoreItem>
</file>

<file path=docMetadata/LabelInfo.xml><?xml version="1.0" encoding="utf-8"?>
<clbl:labelList xmlns:clbl="http://schemas.microsoft.com/office/2020/mipLabelMetadata">
  <clbl:label id="{3048dc87-43f0-4100-9acb-ae1971c79395}" enabled="0" method="" siteId="{3048dc87-43f0-4100-9acb-ae1971c7939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 INSTRUCCIONES</vt:lpstr>
      <vt:lpstr>⚙️ CONFIG</vt:lpstr>
      <vt:lpstr>📊 CONSEJOS</vt:lpstr>
      <vt:lpstr>Hoja1</vt:lpstr>
      <vt:lpstr>📁 EVIDENCIAS</vt:lpstr>
      <vt:lpstr>🚀 EVOLUTIVOS</vt:lpstr>
      <vt:lpstr>📈 HISTÓRICO GLOBAL</vt:lpstr>
      <vt:lpstr>📈 HISTÓRICO CONSEJOS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Goñi Guarro, Ainhoa</cp:lastModifiedBy>
  <dcterms:created xsi:type="dcterms:W3CDTF">2026-02-17T15:03:24Z</dcterms:created>
  <dcterms:modified xsi:type="dcterms:W3CDTF">2026-03-13T09:20:20Z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0x0101001B13382C6D4C5F41B5E75ADC284911F8</vt:lpwstr>
  </property>
  <property fmtid="{D5CDD505-2E9C-101B-9397-08002B2CF9AE}" pid="3" name="MediaServiceImageTags">
    <vt:lpwstr/>
  </property>
</Properties>
</file>